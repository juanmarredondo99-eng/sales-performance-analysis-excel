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m\Desktop\JUAN_MANUEL\HOJAS DE VIDA JM\Analista_de_Datos\Proyectos_para_portafolio\Sales_Analysis_Case_Study\"/>
    </mc:Choice>
  </mc:AlternateContent>
  <xr:revisionPtr revIDLastSave="0" documentId="13_ncr:1_{3ED9887C-84BE-4D1C-AA93-8E971BFC3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1" sheetId="2" r:id="rId2"/>
    <sheet name="2" sheetId="3" r:id="rId3"/>
    <sheet name="3" sheetId="5" r:id="rId4"/>
    <sheet name="4" sheetId="9" r:id="rId5"/>
    <sheet name="Insights &amp; Recommendations" sheetId="8" r:id="rId6"/>
  </sheets>
  <calcPr calcId="191029"/>
  <pivotCaches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1"/>
</calcChain>
</file>

<file path=xl/sharedStrings.xml><?xml version="1.0" encoding="utf-8"?>
<sst xmlns="http://schemas.openxmlformats.org/spreadsheetml/2006/main" count="608" uniqueCount="81">
  <si>
    <t>Date</t>
  </si>
  <si>
    <t>Store</t>
  </si>
  <si>
    <t>Product</t>
  </si>
  <si>
    <t>Category</t>
  </si>
  <si>
    <t>Units_Sold</t>
  </si>
  <si>
    <t>Unit_Price</t>
  </si>
  <si>
    <t>Customer_Segment</t>
  </si>
  <si>
    <t>Store B</t>
  </si>
  <si>
    <t>Monitor</t>
  </si>
  <si>
    <t>Electronics</t>
  </si>
  <si>
    <t>Corporate</t>
  </si>
  <si>
    <t>Consumer</t>
  </si>
  <si>
    <t>Store C</t>
  </si>
  <si>
    <t>Chair</t>
  </si>
  <si>
    <t>Furniture</t>
  </si>
  <si>
    <t>Home Office</t>
  </si>
  <si>
    <t>Store A</t>
  </si>
  <si>
    <t>Store D</t>
  </si>
  <si>
    <t>Desk</t>
  </si>
  <si>
    <t>Tablet</t>
  </si>
  <si>
    <t>Laptop</t>
  </si>
  <si>
    <t>Phone</t>
  </si>
  <si>
    <t>Revenue</t>
  </si>
  <si>
    <t>Suma de Revenue</t>
  </si>
  <si>
    <t>Suma de Units_Sold</t>
  </si>
  <si>
    <t>Store A is the top-performing store, generating $161,849, followed closely by Store B with $153,959. Together, these two stores account for more than 60% of total revenue.</t>
  </si>
  <si>
    <t>Insight 1</t>
  </si>
  <si>
    <t>Business Interpretation:</t>
  </si>
  <si>
    <t>Most of the income is concentrated in a few stores.</t>
  </si>
  <si>
    <t>Why it matters:</t>
  </si>
  <si>
    <t>The business may be highly dependent on Store A and B, which increases operational risk if performance declines in those locations.</t>
  </si>
  <si>
    <t>Insight 2</t>
  </si>
  <si>
    <t>Store C generates the lowest revenue ($90,185), significantly below the average performance of other stores.</t>
  </si>
  <si>
    <t>There may be lower demand, poor commercial execution, or inventory problems | It's not necessarily a market problem; it could be operational.</t>
  </si>
  <si>
    <t>Improving Store C’s performance could increase total revenue without opening new stores.</t>
  </si>
  <si>
    <t>Insight 3</t>
  </si>
  <si>
    <t>Electronics represent 79% of total revenue ($407,764), while Furniture contributes only 21% ($106,567).</t>
  </si>
  <si>
    <t>Electronics is the main driver of the business.</t>
  </si>
  <si>
    <t>The company’s revenue is highly dependent on a single category, which may limit diversification and long-term growth.</t>
  </si>
  <si>
    <t>Insight 4</t>
  </si>
  <si>
    <t>The strong reliance on Electronics suggests potential risk if demand decreases or supply chain issues arise in this category.</t>
  </si>
  <si>
    <t>A change in prices, competition, or scarcity in the electronics category would strongly impact revenue.</t>
  </si>
  <si>
    <t>Diversifying revenue streams could improve business stability.</t>
  </si>
  <si>
    <t>Recommendation 1</t>
  </si>
  <si>
    <t>Focus on replicating Store A’s best practices in Store C to improve overall store performance.</t>
  </si>
  <si>
    <t>Recommendation 3</t>
  </si>
  <si>
    <t>Recommendation 2</t>
  </si>
  <si>
    <t>Explore promotional strategies or bundle offers to increase Furniture sales and reduce dependency on Electronics.</t>
  </si>
  <si>
    <t>Monitor store-level performance regularly to identify early signs of underperformance.</t>
  </si>
  <si>
    <t>Row Labels</t>
  </si>
  <si>
    <t>Grand Total</t>
  </si>
  <si>
    <t>POINT 1</t>
  </si>
  <si>
    <t>POINT 2</t>
  </si>
  <si>
    <t>Desk is the product with the highest sales volume (282 units sold), but it is not the top revenue generator.</t>
  </si>
  <si>
    <t>Desk has high turnover, but a low average price. | Selling a lot does not necessarily mean generating more revenue.</t>
  </si>
  <si>
    <t>Focusing only on sales volume could lead to prioritizing low-margin products over higher-value items.</t>
  </si>
  <si>
    <t>Laptop generates the highest revenue ($168,948) despite ranking only fifth in units sold (185 units).</t>
  </si>
  <si>
    <t>Laptops have a high value per unit. | It is a key product for the profitability of the business.</t>
  </si>
  <si>
    <t>Protecting Laptop availability and demand is critical for maintaining overall revenue performance.</t>
  </si>
  <si>
    <t>Prioritize inventory availability and demand forecasting for Laptop, as it is the main revenue driver.</t>
  </si>
  <si>
    <t>Explore pricing, upselling, or bundling strategies for Desk, given its high sales volume but low revenue contribution.</t>
  </si>
  <si>
    <t>Sum of Revenue</t>
  </si>
  <si>
    <t>POINT 3</t>
  </si>
  <si>
    <t>Revenue is relatively evenly distributed across customer segments: Consumer (36%), Corporate (32%), and Home Office (32%).</t>
  </si>
  <si>
    <t>The business does not depend critically on a single type of customer.</t>
  </si>
  <si>
    <t>A balanced customer mix reduces revenue risk and increases business stability.</t>
  </si>
  <si>
    <t>The similar revenue contribution across segments suggests opportunities for differentiated offers based on customer needs rather than volume.</t>
  </si>
  <si>
    <t>Not all require the same business strategy.</t>
  </si>
  <si>
    <t>Segment-based decision making can improve marketing efficiency and customer satisfaction.</t>
  </si>
  <si>
    <t>Develop tailored product bundles or pricing strategies for Corporate and Home Office customers to increase average revenue per client.</t>
  </si>
  <si>
    <t>Maintain strong availability and promotions for the Consumer segment while testing targeted campaigns in other segments.</t>
  </si>
  <si>
    <t>ene</t>
  </si>
  <si>
    <t>feb</t>
  </si>
  <si>
    <t>mar</t>
  </si>
  <si>
    <t>POINT 4</t>
  </si>
  <si>
    <t>Despite monthly fluctuations, revenue remains within a relatively stable range across the analyzed period.</t>
  </si>
  <si>
    <t>Demand is relatively consistent.</t>
  </si>
  <si>
    <t>Stable revenue trends indicate predictable performance, which supports better forecasting and decision-making.</t>
  </si>
  <si>
    <t>The observed increase in February suggests potential seasonal or promotional effects influencing sales performance.</t>
  </si>
  <si>
    <t>It is not linear growth.</t>
  </si>
  <si>
    <t>Understanding these patterns allows the business to replicate successful strategies in future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</si>
</sst>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6">
    <dxf>
      <font>
        <b/>
      </font>
    </dxf>
    <dxf>
      <font>
        <b/>
      </font>
    </dxf>
    <dxf>
      <font>
        <b/>
      </font>
    </dxf>
    <dxf>
      <numFmt numFmtId="164" formatCode="&quot;$&quot;\ #,##0"/>
    </dxf>
    <dxf>
      <numFmt numFmtId="164" formatCode="&quot;$&quot;\ #,##0"/>
    </dxf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[Development_Sales_Analysis_Project_Data_120_Records.xlsx]1!TablaDinámica1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REVENUE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'1'!$A$4:$A$8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'1'!$B$4:$B$8</c:f>
              <c:numCache>
                <c:formatCode>"$"\ #,##0</c:formatCode>
                <c:ptCount val="4"/>
                <c:pt idx="0">
                  <c:v>161849</c:v>
                </c:pt>
                <c:pt idx="1">
                  <c:v>153959</c:v>
                </c:pt>
                <c:pt idx="2">
                  <c:v>90185</c:v>
                </c:pt>
                <c:pt idx="3">
                  <c:v>108338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485E-BA23-2574528FED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51698592"/>
        <c:axId val="851695232"/>
        <c:axId val="0"/>
      </c:bar3DChart>
      <c:catAx>
        <c:axId val="85169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1695232"/>
        <c:crosses val="autoZero"/>
        <c:auto val="1"/>
        <c:lblAlgn val="ctr"/>
        <c:lblOffset val="100"/>
        <c:noMultiLvlLbl val="0"/>
      </c:catAx>
      <c:valAx>
        <c:axId val="85169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169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[Development_Sales_Analysis_Project_Data_120_Records.xlsx]1!TablaDinámica7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409-4112-B24C-A53527BFB5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409-4112-B24C-A53527BFB5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'1'!$F$4:$F$6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'1'!$G$4:$G$6</c:f>
              <c:numCache>
                <c:formatCode>"$"\ #,##0</c:formatCode>
                <c:ptCount val="2"/>
                <c:pt idx="0">
                  <c:v>407764</c:v>
                </c:pt>
                <c:pt idx="1">
                  <c:v>106567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0-4863-9702-FE300B94035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[Development_Sales_Analysis_Project_Data_120_Records.xlsx]2!TablaDinámica2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UNITS SOLD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'2'!$A$4:$A$10</c:f>
              <c:strCache>
                <c:ptCount val="6"/>
                <c:pt idx="0">
                  <c:v>Desk</c:v>
                </c:pt>
                <c:pt idx="1">
                  <c:v>Monitor</c:v>
                </c:pt>
                <c:pt idx="2">
                  <c:v>Tablet</c:v>
                </c:pt>
                <c:pt idx="3">
                  <c:v>Chair</c:v>
                </c:pt>
                <c:pt idx="4">
                  <c:v>Laptop</c:v>
                </c:pt>
                <c:pt idx="5">
                  <c:v>Phone</c:v>
                </c:pt>
              </c:strCache>
            </c:strRef>
          </c:cat>
          <c:val>
            <c:numRef>
              <c:f>'2'!$B$4:$B$10</c:f>
              <c:numCache>
                <c:formatCode>General</c:formatCode>
                <c:ptCount val="6"/>
                <c:pt idx="0">
                  <c:v>282</c:v>
                </c:pt>
                <c:pt idx="1">
                  <c:v>249</c:v>
                </c:pt>
                <c:pt idx="2">
                  <c:v>192</c:v>
                </c:pt>
                <c:pt idx="3">
                  <c:v>191</c:v>
                </c:pt>
                <c:pt idx="4">
                  <c:v>185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5-4935-AD20-47B2DC3AC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97644320"/>
        <c:axId val="997643840"/>
        <c:axId val="0"/>
      </c:bar3DChart>
      <c:catAx>
        <c:axId val="99764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7643840"/>
        <c:crosses val="autoZero"/>
        <c:auto val="1"/>
        <c:lblAlgn val="ctr"/>
        <c:lblOffset val="100"/>
        <c:noMultiLvlLbl val="0"/>
      </c:catAx>
      <c:valAx>
        <c:axId val="99764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764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[Development_Sales_Analysis_Project_Data_120_Records.xlsx]2!TablaDinámica8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'2'!$G$2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'2'!$F$3:$F$9</c:f>
              <c:strCache>
                <c:ptCount val="6"/>
                <c:pt idx="0">
                  <c:v>Laptop</c:v>
                </c:pt>
                <c:pt idx="1">
                  <c:v>Phone</c:v>
                </c:pt>
                <c:pt idx="2">
                  <c:v>Desk</c:v>
                </c:pt>
                <c:pt idx="3">
                  <c:v>Tablet</c:v>
                </c:pt>
                <c:pt idx="4">
                  <c:v>Monitor</c:v>
                </c:pt>
                <c:pt idx="5">
                  <c:v>Chair</c:v>
                </c:pt>
              </c:strCache>
            </c:strRef>
          </c:cat>
          <c:val>
            <c:numRef>
              <c:f>'2'!$G$3:$G$9</c:f>
              <c:numCache>
                <c:formatCode>"$"\ #,##0</c:formatCode>
                <c:ptCount val="6"/>
                <c:pt idx="0">
                  <c:v>168948</c:v>
                </c:pt>
                <c:pt idx="1">
                  <c:v>100573</c:v>
                </c:pt>
                <c:pt idx="2">
                  <c:v>85277</c:v>
                </c:pt>
                <c:pt idx="3">
                  <c:v>75796</c:v>
                </c:pt>
                <c:pt idx="4">
                  <c:v>62447</c:v>
                </c:pt>
                <c:pt idx="5">
                  <c:v>21290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3-439C-AF5E-404AA80BA6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60074144"/>
        <c:axId val="860074624"/>
        <c:axId val="0"/>
      </c:bar3DChart>
      <c:catAx>
        <c:axId val="86007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0074624"/>
        <c:crosses val="autoZero"/>
        <c:auto val="1"/>
        <c:lblAlgn val="ctr"/>
        <c:lblOffset val="100"/>
        <c:noMultiLvlLbl val="0"/>
      </c:catAx>
      <c:valAx>
        <c:axId val="860074624"/>
        <c:scaling>
          <c:orientation val="minMax"/>
          <c:max val="18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0074144"/>
        <c:crosses val="autoZero"/>
        <c:crossBetween val="between"/>
        <c:majorUnit val="6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[Development_Sales_Analysis_Project_Data_120_Records.xlsx]3!TablaDinámica3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2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523-4CA7-AFBB-0785D923903B}"/>
              </c:ext>
            </c:extLst>
          </c:dPt>
          <c:dPt>
            <c:idx val="1"/>
            <c:bubble3D val="0"/>
            <c:explosion val="25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8523-4CA7-AFBB-0785D923903B}"/>
              </c:ext>
            </c:extLst>
          </c:dPt>
          <c:dPt>
            <c:idx val="2"/>
            <c:bubble3D val="0"/>
            <c:explosion val="14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523-4CA7-AFBB-0785D92390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'3'!$B$4:$B$7</c:f>
              <c:numCache>
                <c:formatCode>"$"\ #,##0</c:formatCode>
                <c:ptCount val="3"/>
                <c:pt idx="0">
                  <c:v>186283</c:v>
                </c:pt>
                <c:pt idx="1">
                  <c:v>166056</c:v>
                </c:pt>
                <c:pt idx="2">
                  <c:v>161992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3-4CA7-AFBB-0785D9239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3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[Development_Sales_Analysis_Project_Data_120_Records.xlsx]4!PivotTable3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'4'!$A$4:$A$7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'4'!$B$4:$B$7</c:f>
              <c:numCache>
                <c:formatCode>"$"\ #,##0</c:formatCode>
                <c:ptCount val="3"/>
                <c:pt idx="0">
                  <c:v>133341</c:v>
                </c:pt>
                <c:pt idx="1">
                  <c:v>205221</c:v>
                </c:pt>
                <c:pt idx="2">
                  <c:v>175769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C-419D-A23A-405BABFD27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8583583"/>
        <c:axId val="1138581663"/>
      </c:lineChart>
      <c:catAx>
        <c:axId val="1138583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8581663"/>
        <c:crosses val="autoZero"/>
        <c:auto val="1"/>
        <c:lblAlgn val="ctr"/>
        <c:lblOffset val="100"/>
        <c:noMultiLvlLbl val="0"/>
      </c:catAx>
      <c:valAx>
        <c:axId val="113858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858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10</xdr:row>
      <xdr:rowOff>121920</xdr:rowOff>
    </xdr:from>
    <xdr:to>
      <xdr:col>4</xdr:col>
      <xdr:colOff>22860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9A3A39-567A-49E4-BED3-3D61C2023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198120</xdr:colOff>
      <xdr:row>10</xdr:row>
      <xdr:rowOff>129540</xdr:rowOff>
    </xdr:from>
    <xdr:to>
      <xdr:col>6</xdr:col>
      <xdr:colOff>1036320</xdr:colOff>
      <xdr:row>25</xdr:row>
      <xdr:rowOff>68580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F13891-01A8-764F-7A5E-7B0E8361C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10</xdr:row>
      <xdr:rowOff>110490</xdr:rowOff>
    </xdr:from>
    <xdr:to>
      <xdr:col>3</xdr:col>
      <xdr:colOff>678180</xdr:colOff>
      <xdr:row>24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3B6D4E-5AA6-936B-2E48-19A79FF63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10</xdr:row>
      <xdr:rowOff>121920</xdr:rowOff>
    </xdr:from>
    <xdr:to>
      <xdr:col>10</xdr:col>
      <xdr:colOff>152400</xdr:colOff>
      <xdr:row>24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EA069F-3DCB-239B-4677-810B76107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83820</xdr:rowOff>
    </xdr:from>
    <xdr:to>
      <xdr:col>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A9D04-6948-513A-795A-9F3AE003A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8</xdr:row>
      <xdr:rowOff>167640</xdr:rowOff>
    </xdr:from>
    <xdr:to>
      <xdr:col>6</xdr:col>
      <xdr:colOff>342900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EC607-4E94-019B-DBC0-A749960C9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Manuel Arredondo Londoño" refreshedDate="46013.77684953704" createdVersion="8" refreshedVersion="8" minRefreshableVersion="3" recordCount="120" xr:uid="{8F2723E5-D8A9-4573-824C-A1146DE2EB3B}">
  <cacheSource type="worksheet">
    <worksheetSource name="Sales"/>
  </cacheSource>
  <cacheFields count="10">
    <cacheField name="Date" numFmtId="14">
      <sharedItems containsSemiMixedTypes="0" containsNonDate="0" containsDate="1" containsString="0" minDate="2024-01-01T00:00:00" maxDate="2024-04-01T00:00:00" count="67">
        <d v="2024-02-09T00:00:00"/>
        <d v="2024-01-04T00:00:00"/>
        <d v="2024-01-01T00:00:00"/>
        <d v="2024-01-21T00:00:00"/>
        <d v="2024-02-27T00:00:00"/>
        <d v="2024-02-02T00:00:00"/>
        <d v="2024-02-06T00:00:00"/>
        <d v="2024-03-29T00:00:00"/>
        <d v="2024-03-13T00:00:00"/>
        <d v="2024-03-26T00:00:00"/>
        <d v="2024-03-30T00:00:00"/>
        <d v="2024-03-01T00:00:00"/>
        <d v="2024-01-12T00:00:00"/>
        <d v="2024-02-22T00:00:00"/>
        <d v="2024-01-13T00:00:00"/>
        <d v="2024-03-28T00:00:00"/>
        <d v="2024-01-31T00:00:00"/>
        <d v="2024-01-08T00:00:00"/>
        <d v="2024-02-17T00:00:00"/>
        <d v="2024-02-25T00:00:00"/>
        <d v="2024-02-04T00:00:00"/>
        <d v="2024-02-26T00:00:00"/>
        <d v="2024-03-04T00:00:00"/>
        <d v="2024-03-31T00:00:00"/>
        <d v="2024-02-29T00:00:00"/>
        <d v="2024-03-21T00:00:00"/>
        <d v="2024-01-10T00:00:00"/>
        <d v="2024-03-20T00:00:00"/>
        <d v="2024-02-01T00:00:00"/>
        <d v="2024-01-06T00:00:00"/>
        <d v="2024-02-10T00:00:00"/>
        <d v="2024-01-29T00:00:00"/>
        <d v="2024-01-26T00:00:00"/>
        <d v="2024-02-13T00:00:00"/>
        <d v="2024-03-14T00:00:00"/>
        <d v="2024-03-09T00:00:00"/>
        <d v="2024-01-24T00:00:00"/>
        <d v="2024-03-22T00:00:00"/>
        <d v="2024-03-15T00:00:00"/>
        <d v="2024-03-17T00:00:00"/>
        <d v="2024-03-16T00:00:00"/>
        <d v="2024-01-07T00:00:00"/>
        <d v="2024-02-21T00:00:00"/>
        <d v="2024-02-11T00:00:00"/>
        <d v="2024-03-06T00:00:00"/>
        <d v="2024-03-25T00:00:00"/>
        <d v="2024-02-18T00:00:00"/>
        <d v="2024-02-05T00:00:00"/>
        <d v="2024-03-11T00:00:00"/>
        <d v="2024-01-23T00:00:00"/>
        <d v="2024-01-17T00:00:00"/>
        <d v="2024-01-11T00:00:00"/>
        <d v="2024-01-22T00:00:00"/>
        <d v="2024-01-03T00:00:00"/>
        <d v="2024-01-30T00:00:00"/>
        <d v="2024-02-28T00:00:00"/>
        <d v="2024-01-19T00:00:00"/>
        <d v="2024-01-20T00:00:00"/>
        <d v="2024-02-14T00:00:00"/>
        <d v="2024-03-24T00:00:00"/>
        <d v="2024-02-12T00:00:00"/>
        <d v="2024-03-02T00:00:00"/>
        <d v="2024-02-20T00:00:00"/>
        <d v="2024-03-18T00:00:00"/>
        <d v="2024-02-23T00:00:00"/>
        <d v="2024-01-28T00:00:00"/>
        <d v="2024-01-02T00:00:00"/>
      </sharedItems>
      <fieldGroup par="9"/>
    </cacheField>
    <cacheField name="Store" numFmtId="0">
      <sharedItems count="4">
        <s v="Store B"/>
        <s v="Store C"/>
        <s v="Store A"/>
        <s v="Store D"/>
      </sharedItems>
    </cacheField>
    <cacheField name="Product" numFmtId="0">
      <sharedItems count="6">
        <s v="Monitor"/>
        <s v="Chair"/>
        <s v="Desk"/>
        <s v="Tablet"/>
        <s v="Laptop"/>
        <s v="Phone"/>
      </sharedItems>
    </cacheField>
    <cacheField name="Category" numFmtId="0">
      <sharedItems count="2">
        <s v="Electronics"/>
        <s v="Furniture"/>
      </sharedItems>
    </cacheField>
    <cacheField name="Units_Sold" numFmtId="0">
      <sharedItems containsSemiMixedTypes="0" containsString="0" containsNumber="1" containsInteger="1" minValue="1" maxValue="20"/>
    </cacheField>
    <cacheField name="Unit_Price" numFmtId="164">
      <sharedItems containsSemiMixedTypes="0" containsString="0" containsNumber="1" containsInteger="1" minValue="71" maxValue="950"/>
    </cacheField>
    <cacheField name="Customer_Segment" numFmtId="0">
      <sharedItems count="3">
        <s v="Corporate"/>
        <s v="Consumer"/>
        <s v="Home Office"/>
      </sharedItems>
    </cacheField>
    <cacheField name="Revenue" numFmtId="164">
      <sharedItems containsSemiMixedTypes="0" containsString="0" containsNumber="1" containsInteger="1" minValue="156" maxValue="16866"/>
    </cacheField>
    <cacheField name="Campo1" numFmtId="0" formula="Revenue/SUM(Revenue)" databaseField="0"/>
    <cacheField name="Months (Date)" numFmtId="0" databaseField="0">
      <fieldGroup base="0">
        <rangePr groupBy="months" startDate="2024-01-01T00:00:00" endDate="2024-04-01T00:00:00"/>
        <groupItems count="14">
          <s v="&lt;1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x v="0"/>
    <n v="7"/>
    <n v="276"/>
    <x v="0"/>
    <n v="1932"/>
  </r>
  <r>
    <x v="1"/>
    <x v="0"/>
    <x v="0"/>
    <x v="0"/>
    <n v="19"/>
    <n v="218"/>
    <x v="1"/>
    <n v="4142"/>
  </r>
  <r>
    <x v="2"/>
    <x v="1"/>
    <x v="1"/>
    <x v="1"/>
    <n v="14"/>
    <n v="110"/>
    <x v="2"/>
    <n v="1540"/>
  </r>
  <r>
    <x v="3"/>
    <x v="1"/>
    <x v="1"/>
    <x v="1"/>
    <n v="11"/>
    <n v="139"/>
    <x v="0"/>
    <n v="1529"/>
  </r>
  <r>
    <x v="4"/>
    <x v="2"/>
    <x v="0"/>
    <x v="0"/>
    <n v="1"/>
    <n v="266"/>
    <x v="1"/>
    <n v="266"/>
  </r>
  <r>
    <x v="5"/>
    <x v="1"/>
    <x v="1"/>
    <x v="1"/>
    <n v="20"/>
    <n v="114"/>
    <x v="0"/>
    <n v="2280"/>
  </r>
  <r>
    <x v="6"/>
    <x v="3"/>
    <x v="2"/>
    <x v="1"/>
    <n v="14"/>
    <n v="285"/>
    <x v="2"/>
    <n v="3990"/>
  </r>
  <r>
    <x v="7"/>
    <x v="2"/>
    <x v="3"/>
    <x v="0"/>
    <n v="19"/>
    <n v="355"/>
    <x v="0"/>
    <n v="6745"/>
  </r>
  <r>
    <x v="8"/>
    <x v="2"/>
    <x v="4"/>
    <x v="0"/>
    <n v="15"/>
    <n v="940"/>
    <x v="2"/>
    <n v="14100"/>
  </r>
  <r>
    <x v="9"/>
    <x v="1"/>
    <x v="1"/>
    <x v="1"/>
    <n v="16"/>
    <n v="140"/>
    <x v="2"/>
    <n v="2240"/>
  </r>
  <r>
    <x v="10"/>
    <x v="0"/>
    <x v="4"/>
    <x v="0"/>
    <n v="8"/>
    <n v="873"/>
    <x v="0"/>
    <n v="6984"/>
  </r>
  <r>
    <x v="11"/>
    <x v="1"/>
    <x v="2"/>
    <x v="1"/>
    <n v="7"/>
    <n v="321"/>
    <x v="2"/>
    <n v="2247"/>
  </r>
  <r>
    <x v="12"/>
    <x v="3"/>
    <x v="2"/>
    <x v="1"/>
    <n v="18"/>
    <n v="321"/>
    <x v="2"/>
    <n v="5778"/>
  </r>
  <r>
    <x v="13"/>
    <x v="3"/>
    <x v="2"/>
    <x v="1"/>
    <n v="4"/>
    <n v="275"/>
    <x v="0"/>
    <n v="1100"/>
  </r>
  <r>
    <x v="0"/>
    <x v="2"/>
    <x v="1"/>
    <x v="1"/>
    <n v="11"/>
    <n v="89"/>
    <x v="2"/>
    <n v="979"/>
  </r>
  <r>
    <x v="14"/>
    <x v="2"/>
    <x v="2"/>
    <x v="1"/>
    <n v="1"/>
    <n v="292"/>
    <x v="2"/>
    <n v="292"/>
  </r>
  <r>
    <x v="15"/>
    <x v="2"/>
    <x v="0"/>
    <x v="0"/>
    <n v="16"/>
    <n v="212"/>
    <x v="0"/>
    <n v="3392"/>
  </r>
  <r>
    <x v="16"/>
    <x v="2"/>
    <x v="0"/>
    <x v="0"/>
    <n v="15"/>
    <n v="254"/>
    <x v="0"/>
    <n v="3810"/>
  </r>
  <r>
    <x v="12"/>
    <x v="2"/>
    <x v="1"/>
    <x v="1"/>
    <n v="1"/>
    <n v="156"/>
    <x v="1"/>
    <n v="156"/>
  </r>
  <r>
    <x v="17"/>
    <x v="0"/>
    <x v="0"/>
    <x v="0"/>
    <n v="13"/>
    <n v="260"/>
    <x v="2"/>
    <n v="3380"/>
  </r>
  <r>
    <x v="18"/>
    <x v="0"/>
    <x v="5"/>
    <x v="0"/>
    <n v="11"/>
    <n v="644"/>
    <x v="1"/>
    <n v="7084"/>
  </r>
  <r>
    <x v="8"/>
    <x v="1"/>
    <x v="3"/>
    <x v="0"/>
    <n v="8"/>
    <n v="435"/>
    <x v="0"/>
    <n v="3480"/>
  </r>
  <r>
    <x v="6"/>
    <x v="2"/>
    <x v="0"/>
    <x v="0"/>
    <n v="13"/>
    <n v="269"/>
    <x v="0"/>
    <n v="3497"/>
  </r>
  <r>
    <x v="19"/>
    <x v="3"/>
    <x v="5"/>
    <x v="0"/>
    <n v="10"/>
    <n v="625"/>
    <x v="1"/>
    <n v="6250"/>
  </r>
  <r>
    <x v="20"/>
    <x v="2"/>
    <x v="4"/>
    <x v="0"/>
    <n v="5"/>
    <n v="894"/>
    <x v="1"/>
    <n v="4470"/>
  </r>
  <r>
    <x v="21"/>
    <x v="1"/>
    <x v="1"/>
    <x v="1"/>
    <n v="5"/>
    <n v="118"/>
    <x v="2"/>
    <n v="590"/>
  </r>
  <r>
    <x v="22"/>
    <x v="1"/>
    <x v="1"/>
    <x v="1"/>
    <n v="5"/>
    <n v="81"/>
    <x v="2"/>
    <n v="405"/>
  </r>
  <r>
    <x v="23"/>
    <x v="0"/>
    <x v="0"/>
    <x v="0"/>
    <n v="6"/>
    <n v="223"/>
    <x v="0"/>
    <n v="1338"/>
  </r>
  <r>
    <x v="24"/>
    <x v="3"/>
    <x v="2"/>
    <x v="1"/>
    <n v="1"/>
    <n v="350"/>
    <x v="2"/>
    <n v="350"/>
  </r>
  <r>
    <x v="25"/>
    <x v="3"/>
    <x v="3"/>
    <x v="0"/>
    <n v="5"/>
    <n v="410"/>
    <x v="1"/>
    <n v="2050"/>
  </r>
  <r>
    <x v="26"/>
    <x v="0"/>
    <x v="0"/>
    <x v="0"/>
    <n v="15"/>
    <n v="299"/>
    <x v="2"/>
    <n v="4485"/>
  </r>
  <r>
    <x v="27"/>
    <x v="2"/>
    <x v="1"/>
    <x v="1"/>
    <n v="18"/>
    <n v="84"/>
    <x v="1"/>
    <n v="1512"/>
  </r>
  <r>
    <x v="18"/>
    <x v="2"/>
    <x v="3"/>
    <x v="0"/>
    <n v="11"/>
    <n v="388"/>
    <x v="1"/>
    <n v="4268"/>
  </r>
  <r>
    <x v="28"/>
    <x v="2"/>
    <x v="0"/>
    <x v="0"/>
    <n v="3"/>
    <n v="222"/>
    <x v="0"/>
    <n v="666"/>
  </r>
  <r>
    <x v="29"/>
    <x v="2"/>
    <x v="2"/>
    <x v="1"/>
    <n v="12"/>
    <n v="329"/>
    <x v="1"/>
    <n v="3948"/>
  </r>
  <r>
    <x v="30"/>
    <x v="3"/>
    <x v="1"/>
    <x v="1"/>
    <n v="15"/>
    <n v="102"/>
    <x v="1"/>
    <n v="1530"/>
  </r>
  <r>
    <x v="31"/>
    <x v="3"/>
    <x v="4"/>
    <x v="0"/>
    <n v="18"/>
    <n v="937"/>
    <x v="2"/>
    <n v="16866"/>
  </r>
  <r>
    <x v="32"/>
    <x v="0"/>
    <x v="4"/>
    <x v="0"/>
    <n v="8"/>
    <n v="910"/>
    <x v="0"/>
    <n v="7280"/>
  </r>
  <r>
    <x v="33"/>
    <x v="0"/>
    <x v="4"/>
    <x v="0"/>
    <n v="10"/>
    <n v="877"/>
    <x v="1"/>
    <n v="8770"/>
  </r>
  <r>
    <x v="26"/>
    <x v="3"/>
    <x v="1"/>
    <x v="1"/>
    <n v="7"/>
    <n v="81"/>
    <x v="2"/>
    <n v="567"/>
  </r>
  <r>
    <x v="34"/>
    <x v="2"/>
    <x v="5"/>
    <x v="0"/>
    <n v="17"/>
    <n v="628"/>
    <x v="2"/>
    <n v="10676"/>
  </r>
  <r>
    <x v="29"/>
    <x v="0"/>
    <x v="4"/>
    <x v="0"/>
    <n v="12"/>
    <n v="948"/>
    <x v="2"/>
    <n v="11376"/>
  </r>
  <r>
    <x v="35"/>
    <x v="1"/>
    <x v="4"/>
    <x v="0"/>
    <n v="16"/>
    <n v="945"/>
    <x v="1"/>
    <n v="15120"/>
  </r>
  <r>
    <x v="17"/>
    <x v="2"/>
    <x v="2"/>
    <x v="1"/>
    <n v="9"/>
    <n v="313"/>
    <x v="1"/>
    <n v="2817"/>
  </r>
  <r>
    <x v="36"/>
    <x v="0"/>
    <x v="1"/>
    <x v="1"/>
    <n v="6"/>
    <n v="86"/>
    <x v="2"/>
    <n v="516"/>
  </r>
  <r>
    <x v="37"/>
    <x v="0"/>
    <x v="5"/>
    <x v="0"/>
    <n v="10"/>
    <n v="611"/>
    <x v="0"/>
    <n v="6110"/>
  </r>
  <r>
    <x v="38"/>
    <x v="1"/>
    <x v="0"/>
    <x v="0"/>
    <n v="13"/>
    <n v="289"/>
    <x v="0"/>
    <n v="3757"/>
  </r>
  <r>
    <x v="39"/>
    <x v="0"/>
    <x v="5"/>
    <x v="0"/>
    <n v="18"/>
    <n v="605"/>
    <x v="0"/>
    <n v="10890"/>
  </r>
  <r>
    <x v="40"/>
    <x v="2"/>
    <x v="3"/>
    <x v="0"/>
    <n v="7"/>
    <n v="442"/>
    <x v="0"/>
    <n v="3094"/>
  </r>
  <r>
    <x v="27"/>
    <x v="3"/>
    <x v="4"/>
    <x v="0"/>
    <n v="1"/>
    <n v="921"/>
    <x v="1"/>
    <n v="921"/>
  </r>
  <r>
    <x v="11"/>
    <x v="2"/>
    <x v="5"/>
    <x v="0"/>
    <n v="19"/>
    <n v="634"/>
    <x v="0"/>
    <n v="12046"/>
  </r>
  <r>
    <x v="41"/>
    <x v="2"/>
    <x v="4"/>
    <x v="0"/>
    <n v="2"/>
    <n v="873"/>
    <x v="1"/>
    <n v="1746"/>
  </r>
  <r>
    <x v="3"/>
    <x v="2"/>
    <x v="0"/>
    <x v="0"/>
    <n v="18"/>
    <n v="231"/>
    <x v="1"/>
    <n v="4158"/>
  </r>
  <r>
    <x v="42"/>
    <x v="0"/>
    <x v="4"/>
    <x v="0"/>
    <n v="8"/>
    <n v="878"/>
    <x v="2"/>
    <n v="7024"/>
  </r>
  <r>
    <x v="38"/>
    <x v="3"/>
    <x v="5"/>
    <x v="0"/>
    <n v="4"/>
    <n v="604"/>
    <x v="1"/>
    <n v="2416"/>
  </r>
  <r>
    <x v="13"/>
    <x v="2"/>
    <x v="4"/>
    <x v="0"/>
    <n v="2"/>
    <n v="917"/>
    <x v="2"/>
    <n v="1834"/>
  </r>
  <r>
    <x v="39"/>
    <x v="1"/>
    <x v="0"/>
    <x v="0"/>
    <n v="2"/>
    <n v="218"/>
    <x v="0"/>
    <n v="436"/>
  </r>
  <r>
    <x v="43"/>
    <x v="2"/>
    <x v="4"/>
    <x v="0"/>
    <n v="13"/>
    <n v="861"/>
    <x v="1"/>
    <n v="11193"/>
  </r>
  <r>
    <x v="44"/>
    <x v="2"/>
    <x v="3"/>
    <x v="0"/>
    <n v="15"/>
    <n v="419"/>
    <x v="2"/>
    <n v="6285"/>
  </r>
  <r>
    <x v="45"/>
    <x v="1"/>
    <x v="4"/>
    <x v="0"/>
    <n v="12"/>
    <n v="932"/>
    <x v="1"/>
    <n v="11184"/>
  </r>
  <r>
    <x v="46"/>
    <x v="2"/>
    <x v="3"/>
    <x v="0"/>
    <n v="14"/>
    <n v="432"/>
    <x v="0"/>
    <n v="6048"/>
  </r>
  <r>
    <x v="40"/>
    <x v="2"/>
    <x v="2"/>
    <x v="1"/>
    <n v="18"/>
    <n v="347"/>
    <x v="0"/>
    <n v="6246"/>
  </r>
  <r>
    <x v="44"/>
    <x v="0"/>
    <x v="3"/>
    <x v="0"/>
    <n v="20"/>
    <n v="402"/>
    <x v="2"/>
    <n v="8040"/>
  </r>
  <r>
    <x v="18"/>
    <x v="1"/>
    <x v="3"/>
    <x v="0"/>
    <n v="3"/>
    <n v="391"/>
    <x v="1"/>
    <n v="1173"/>
  </r>
  <r>
    <x v="25"/>
    <x v="2"/>
    <x v="2"/>
    <x v="1"/>
    <n v="20"/>
    <n v="321"/>
    <x v="2"/>
    <n v="6420"/>
  </r>
  <r>
    <x v="47"/>
    <x v="3"/>
    <x v="1"/>
    <x v="1"/>
    <n v="20"/>
    <n v="160"/>
    <x v="1"/>
    <n v="3200"/>
  </r>
  <r>
    <x v="48"/>
    <x v="1"/>
    <x v="3"/>
    <x v="0"/>
    <n v="1"/>
    <n v="404"/>
    <x v="0"/>
    <n v="404"/>
  </r>
  <r>
    <x v="49"/>
    <x v="1"/>
    <x v="0"/>
    <x v="0"/>
    <n v="5"/>
    <n v="248"/>
    <x v="1"/>
    <n v="1240"/>
  </r>
  <r>
    <x v="42"/>
    <x v="0"/>
    <x v="5"/>
    <x v="0"/>
    <n v="20"/>
    <n v="564"/>
    <x v="1"/>
    <n v="11280"/>
  </r>
  <r>
    <x v="50"/>
    <x v="1"/>
    <x v="2"/>
    <x v="1"/>
    <n v="11"/>
    <n v="306"/>
    <x v="1"/>
    <n v="3366"/>
  </r>
  <r>
    <x v="51"/>
    <x v="2"/>
    <x v="0"/>
    <x v="0"/>
    <n v="4"/>
    <n v="258"/>
    <x v="0"/>
    <n v="1032"/>
  </r>
  <r>
    <x v="52"/>
    <x v="1"/>
    <x v="2"/>
    <x v="1"/>
    <n v="13"/>
    <n v="263"/>
    <x v="2"/>
    <n v="3419"/>
  </r>
  <r>
    <x v="6"/>
    <x v="1"/>
    <x v="3"/>
    <x v="0"/>
    <n v="14"/>
    <n v="375"/>
    <x v="0"/>
    <n v="5250"/>
  </r>
  <r>
    <x v="53"/>
    <x v="3"/>
    <x v="4"/>
    <x v="0"/>
    <n v="9"/>
    <n v="933"/>
    <x v="0"/>
    <n v="8397"/>
  </r>
  <r>
    <x v="54"/>
    <x v="0"/>
    <x v="0"/>
    <x v="0"/>
    <n v="12"/>
    <n v="256"/>
    <x v="0"/>
    <n v="3072"/>
  </r>
  <r>
    <x v="54"/>
    <x v="0"/>
    <x v="1"/>
    <x v="1"/>
    <n v="7"/>
    <n v="117"/>
    <x v="0"/>
    <n v="819"/>
  </r>
  <r>
    <x v="55"/>
    <x v="2"/>
    <x v="2"/>
    <x v="1"/>
    <n v="7"/>
    <n v="342"/>
    <x v="0"/>
    <n v="2394"/>
  </r>
  <r>
    <x v="56"/>
    <x v="1"/>
    <x v="2"/>
    <x v="1"/>
    <n v="13"/>
    <n v="274"/>
    <x v="1"/>
    <n v="3562"/>
  </r>
  <r>
    <x v="48"/>
    <x v="3"/>
    <x v="0"/>
    <x v="0"/>
    <n v="18"/>
    <n v="248"/>
    <x v="2"/>
    <n v="4464"/>
  </r>
  <r>
    <x v="55"/>
    <x v="3"/>
    <x v="4"/>
    <x v="0"/>
    <n v="17"/>
    <n v="909"/>
    <x v="1"/>
    <n v="15453"/>
  </r>
  <r>
    <x v="44"/>
    <x v="3"/>
    <x v="0"/>
    <x v="0"/>
    <n v="5"/>
    <n v="262"/>
    <x v="0"/>
    <n v="1310"/>
  </r>
  <r>
    <x v="28"/>
    <x v="1"/>
    <x v="0"/>
    <x v="0"/>
    <n v="13"/>
    <n v="266"/>
    <x v="1"/>
    <n v="3458"/>
  </r>
  <r>
    <x v="57"/>
    <x v="0"/>
    <x v="1"/>
    <x v="1"/>
    <n v="5"/>
    <n v="135"/>
    <x v="2"/>
    <n v="675"/>
  </r>
  <r>
    <x v="21"/>
    <x v="0"/>
    <x v="0"/>
    <x v="0"/>
    <n v="15"/>
    <n v="238"/>
    <x v="0"/>
    <n v="3570"/>
  </r>
  <r>
    <x v="58"/>
    <x v="0"/>
    <x v="4"/>
    <x v="0"/>
    <n v="5"/>
    <n v="950"/>
    <x v="2"/>
    <n v="4750"/>
  </r>
  <r>
    <x v="59"/>
    <x v="3"/>
    <x v="0"/>
    <x v="0"/>
    <n v="6"/>
    <n v="232"/>
    <x v="2"/>
    <n v="1392"/>
  </r>
  <r>
    <x v="47"/>
    <x v="0"/>
    <x v="2"/>
    <x v="1"/>
    <n v="17"/>
    <n v="291"/>
    <x v="0"/>
    <n v="4947"/>
  </r>
  <r>
    <x v="19"/>
    <x v="1"/>
    <x v="0"/>
    <x v="0"/>
    <n v="15"/>
    <n v="275"/>
    <x v="2"/>
    <n v="4125"/>
  </r>
  <r>
    <x v="60"/>
    <x v="3"/>
    <x v="4"/>
    <x v="0"/>
    <n v="6"/>
    <n v="892"/>
    <x v="2"/>
    <n v="5352"/>
  </r>
  <r>
    <x v="10"/>
    <x v="2"/>
    <x v="3"/>
    <x v="0"/>
    <n v="2"/>
    <n v="408"/>
    <x v="0"/>
    <n v="816"/>
  </r>
  <r>
    <x v="50"/>
    <x v="0"/>
    <x v="3"/>
    <x v="0"/>
    <n v="7"/>
    <n v="370"/>
    <x v="0"/>
    <n v="2590"/>
  </r>
  <r>
    <x v="60"/>
    <x v="0"/>
    <x v="2"/>
    <x v="1"/>
    <n v="7"/>
    <n v="250"/>
    <x v="0"/>
    <n v="1750"/>
  </r>
  <r>
    <x v="44"/>
    <x v="0"/>
    <x v="2"/>
    <x v="1"/>
    <n v="6"/>
    <n v="266"/>
    <x v="0"/>
    <n v="1596"/>
  </r>
  <r>
    <x v="47"/>
    <x v="3"/>
    <x v="5"/>
    <x v="0"/>
    <n v="2"/>
    <n v="565"/>
    <x v="0"/>
    <n v="1130"/>
  </r>
  <r>
    <x v="61"/>
    <x v="2"/>
    <x v="5"/>
    <x v="0"/>
    <n v="8"/>
    <n v="579"/>
    <x v="1"/>
    <n v="4632"/>
  </r>
  <r>
    <x v="34"/>
    <x v="0"/>
    <x v="1"/>
    <x v="1"/>
    <n v="2"/>
    <n v="136"/>
    <x v="2"/>
    <n v="272"/>
  </r>
  <r>
    <x v="5"/>
    <x v="0"/>
    <x v="3"/>
    <x v="0"/>
    <n v="17"/>
    <n v="377"/>
    <x v="2"/>
    <n v="6409"/>
  </r>
  <r>
    <x v="62"/>
    <x v="2"/>
    <x v="5"/>
    <x v="0"/>
    <n v="20"/>
    <n v="619"/>
    <x v="0"/>
    <n v="12380"/>
  </r>
  <r>
    <x v="58"/>
    <x v="0"/>
    <x v="0"/>
    <x v="0"/>
    <n v="2"/>
    <n v="205"/>
    <x v="2"/>
    <n v="410"/>
  </r>
  <r>
    <x v="29"/>
    <x v="2"/>
    <x v="3"/>
    <x v="0"/>
    <n v="6"/>
    <n v="419"/>
    <x v="2"/>
    <n v="2514"/>
  </r>
  <r>
    <x v="4"/>
    <x v="1"/>
    <x v="3"/>
    <x v="0"/>
    <n v="8"/>
    <n v="361"/>
    <x v="2"/>
    <n v="2888"/>
  </r>
  <r>
    <x v="19"/>
    <x v="0"/>
    <x v="2"/>
    <x v="1"/>
    <n v="20"/>
    <n v="317"/>
    <x v="1"/>
    <n v="6340"/>
  </r>
  <r>
    <x v="63"/>
    <x v="3"/>
    <x v="2"/>
    <x v="1"/>
    <n v="1"/>
    <n v="335"/>
    <x v="0"/>
    <n v="335"/>
  </r>
  <r>
    <x v="56"/>
    <x v="1"/>
    <x v="5"/>
    <x v="0"/>
    <n v="11"/>
    <n v="617"/>
    <x v="2"/>
    <n v="6787"/>
  </r>
  <r>
    <x v="2"/>
    <x v="2"/>
    <x v="2"/>
    <x v="1"/>
    <n v="11"/>
    <n v="257"/>
    <x v="0"/>
    <n v="2827"/>
  </r>
  <r>
    <x v="35"/>
    <x v="3"/>
    <x v="0"/>
    <x v="0"/>
    <n v="2"/>
    <n v="236"/>
    <x v="1"/>
    <n v="472"/>
  </r>
  <r>
    <x v="60"/>
    <x v="3"/>
    <x v="2"/>
    <x v="1"/>
    <n v="8"/>
    <n v="317"/>
    <x v="1"/>
    <n v="2536"/>
  </r>
  <r>
    <x v="10"/>
    <x v="2"/>
    <x v="2"/>
    <x v="1"/>
    <n v="16"/>
    <n v="315"/>
    <x v="0"/>
    <n v="5040"/>
  </r>
  <r>
    <x v="64"/>
    <x v="1"/>
    <x v="2"/>
    <x v="1"/>
    <n v="19"/>
    <n v="289"/>
    <x v="0"/>
    <n v="5491"/>
  </r>
  <r>
    <x v="35"/>
    <x v="3"/>
    <x v="3"/>
    <x v="0"/>
    <n v="17"/>
    <n v="406"/>
    <x v="0"/>
    <n v="6902"/>
  </r>
  <r>
    <x v="65"/>
    <x v="3"/>
    <x v="2"/>
    <x v="1"/>
    <n v="19"/>
    <n v="304"/>
    <x v="1"/>
    <n v="5776"/>
  </r>
  <r>
    <x v="28"/>
    <x v="0"/>
    <x v="4"/>
    <x v="0"/>
    <n v="18"/>
    <n v="896"/>
    <x v="1"/>
    <n v="16128"/>
  </r>
  <r>
    <x v="32"/>
    <x v="1"/>
    <x v="1"/>
    <x v="1"/>
    <n v="12"/>
    <n v="112"/>
    <x v="0"/>
    <n v="1344"/>
  </r>
  <r>
    <x v="66"/>
    <x v="1"/>
    <x v="5"/>
    <x v="0"/>
    <n v="4"/>
    <n v="617"/>
    <x v="2"/>
    <n v="2468"/>
  </r>
  <r>
    <x v="1"/>
    <x v="1"/>
    <x v="0"/>
    <x v="0"/>
    <n v="2"/>
    <n v="201"/>
    <x v="1"/>
    <n v="402"/>
  </r>
  <r>
    <x v="20"/>
    <x v="3"/>
    <x v="1"/>
    <x v="1"/>
    <n v="16"/>
    <n v="71"/>
    <x v="2"/>
    <n v="1136"/>
  </r>
  <r>
    <x v="42"/>
    <x v="2"/>
    <x v="3"/>
    <x v="0"/>
    <n v="18"/>
    <n v="380"/>
    <x v="1"/>
    <n v="6840"/>
  </r>
  <r>
    <x v="53"/>
    <x v="3"/>
    <x v="0"/>
    <x v="0"/>
    <n v="9"/>
    <n v="249"/>
    <x v="2"/>
    <n v="2241"/>
  </r>
  <r>
    <x v="62"/>
    <x v="2"/>
    <x v="2"/>
    <x v="1"/>
    <n v="10"/>
    <n v="271"/>
    <x v="2"/>
    <n v="2710"/>
  </r>
  <r>
    <x v="50"/>
    <x v="3"/>
    <x v="5"/>
    <x v="0"/>
    <n v="11"/>
    <n v="584"/>
    <x v="1"/>
    <n v="64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976B6-B111-4ED2-8464-BE9970439F09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0">
    <pivotField showAll="0">
      <items count="68">
        <item x="2"/>
        <item x="66"/>
        <item x="53"/>
        <item x="1"/>
        <item x="29"/>
        <item x="41"/>
        <item x="17"/>
        <item x="26"/>
        <item x="51"/>
        <item x="12"/>
        <item x="14"/>
        <item x="50"/>
        <item x="56"/>
        <item x="57"/>
        <item x="3"/>
        <item x="52"/>
        <item x="49"/>
        <item x="36"/>
        <item x="32"/>
        <item x="65"/>
        <item x="31"/>
        <item x="54"/>
        <item x="16"/>
        <item x="28"/>
        <item x="5"/>
        <item x="20"/>
        <item x="47"/>
        <item x="6"/>
        <item x="0"/>
        <item x="30"/>
        <item x="43"/>
        <item x="60"/>
        <item x="33"/>
        <item x="58"/>
        <item x="18"/>
        <item x="46"/>
        <item x="62"/>
        <item x="42"/>
        <item x="13"/>
        <item x="64"/>
        <item x="19"/>
        <item x="21"/>
        <item x="4"/>
        <item x="55"/>
        <item x="24"/>
        <item x="11"/>
        <item x="61"/>
        <item x="22"/>
        <item x="44"/>
        <item x="35"/>
        <item x="48"/>
        <item x="8"/>
        <item x="34"/>
        <item x="38"/>
        <item x="40"/>
        <item x="39"/>
        <item x="63"/>
        <item x="27"/>
        <item x="25"/>
        <item x="37"/>
        <item x="59"/>
        <item x="45"/>
        <item x="9"/>
        <item x="15"/>
        <item x="7"/>
        <item x="10"/>
        <item x="2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venue" fld="7" baseField="1" baseItem="0" numFmtId="164"/>
  </dataFields>
  <formats count="1">
    <format dxfId="2">
      <pivotArea field="1" grandCol="1" collapsedLevelsAreSubtotals="1" axis="axisRow" fieldPosition="0">
        <references count="1">
          <reference field="1" count="0"/>
        </references>
      </pivotArea>
    </format>
  </format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CF20C-2AEB-47A4-A90F-B124CAF00DC8}" name="TablaDinámica7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F3:G6" firstHeaderRow="1" firstDataRow="1" firstDataCol="1"/>
  <pivotFields count="10">
    <pivotField showAll="0">
      <items count="68">
        <item x="2"/>
        <item x="66"/>
        <item x="53"/>
        <item x="1"/>
        <item x="29"/>
        <item x="41"/>
        <item x="17"/>
        <item x="26"/>
        <item x="51"/>
        <item x="12"/>
        <item x="14"/>
        <item x="50"/>
        <item x="56"/>
        <item x="57"/>
        <item x="3"/>
        <item x="52"/>
        <item x="49"/>
        <item x="36"/>
        <item x="32"/>
        <item x="65"/>
        <item x="31"/>
        <item x="54"/>
        <item x="16"/>
        <item x="28"/>
        <item x="5"/>
        <item x="20"/>
        <item x="47"/>
        <item x="6"/>
        <item x="0"/>
        <item x="30"/>
        <item x="43"/>
        <item x="60"/>
        <item x="33"/>
        <item x="58"/>
        <item x="18"/>
        <item x="46"/>
        <item x="62"/>
        <item x="42"/>
        <item x="13"/>
        <item x="64"/>
        <item x="19"/>
        <item x="21"/>
        <item x="4"/>
        <item x="55"/>
        <item x="24"/>
        <item x="11"/>
        <item x="61"/>
        <item x="22"/>
        <item x="44"/>
        <item x="35"/>
        <item x="48"/>
        <item x="8"/>
        <item x="34"/>
        <item x="38"/>
        <item x="40"/>
        <item x="39"/>
        <item x="63"/>
        <item x="27"/>
        <item x="25"/>
        <item x="37"/>
        <item x="59"/>
        <item x="45"/>
        <item x="9"/>
        <item x="15"/>
        <item x="7"/>
        <item x="10"/>
        <item x="2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dataField="1" numFmtId="164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a de Revenue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1FC5D-966B-4919-9D6B-892BF859D5BD}" name="TablaDinámica8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F2:G9" firstHeaderRow="1" firstDataRow="1" firstDataCol="1"/>
  <pivotFields count="10">
    <pivotField showAll="0">
      <items count="68">
        <item x="2"/>
        <item x="66"/>
        <item x="53"/>
        <item x="1"/>
        <item x="29"/>
        <item x="41"/>
        <item x="17"/>
        <item x="26"/>
        <item x="51"/>
        <item x="12"/>
        <item x="14"/>
        <item x="50"/>
        <item x="56"/>
        <item x="57"/>
        <item x="3"/>
        <item x="52"/>
        <item x="49"/>
        <item x="36"/>
        <item x="32"/>
        <item x="65"/>
        <item x="31"/>
        <item x="54"/>
        <item x="16"/>
        <item x="28"/>
        <item x="5"/>
        <item x="20"/>
        <item x="47"/>
        <item x="6"/>
        <item x="0"/>
        <item x="30"/>
        <item x="43"/>
        <item x="60"/>
        <item x="33"/>
        <item x="58"/>
        <item x="18"/>
        <item x="46"/>
        <item x="62"/>
        <item x="42"/>
        <item x="13"/>
        <item x="64"/>
        <item x="19"/>
        <item x="21"/>
        <item x="4"/>
        <item x="55"/>
        <item x="24"/>
        <item x="11"/>
        <item x="61"/>
        <item x="22"/>
        <item x="44"/>
        <item x="35"/>
        <item x="48"/>
        <item x="8"/>
        <item x="34"/>
        <item x="38"/>
        <item x="40"/>
        <item x="39"/>
        <item x="63"/>
        <item x="27"/>
        <item x="25"/>
        <item x="37"/>
        <item x="59"/>
        <item x="45"/>
        <item x="9"/>
        <item x="15"/>
        <item x="7"/>
        <item x="10"/>
        <item x="23"/>
        <item t="default"/>
      </items>
    </pivotField>
    <pivotField showAll="0"/>
    <pivotField axis="axisRow" showAll="0" sortType="descending">
      <items count="7">
        <item x="1"/>
        <item x="2"/>
        <item x="4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dataField="1" numFmtId="164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2"/>
    </i>
    <i>
      <x v="4"/>
    </i>
    <i>
      <x v="1"/>
    </i>
    <i>
      <x v="5"/>
    </i>
    <i>
      <x v="3"/>
    </i>
    <i>
      <x/>
    </i>
    <i t="grand">
      <x/>
    </i>
  </rowItems>
  <colItems count="1">
    <i/>
  </colItems>
  <dataFields count="1">
    <dataField name="Suma de Revenue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538DA-74FF-4E18-8B41-8F29837146B3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0">
    <pivotField showAll="0">
      <items count="68">
        <item x="2"/>
        <item x="66"/>
        <item x="53"/>
        <item x="1"/>
        <item x="29"/>
        <item x="41"/>
        <item x="17"/>
        <item x="26"/>
        <item x="51"/>
        <item x="12"/>
        <item x="14"/>
        <item x="50"/>
        <item x="56"/>
        <item x="57"/>
        <item x="3"/>
        <item x="52"/>
        <item x="49"/>
        <item x="36"/>
        <item x="32"/>
        <item x="65"/>
        <item x="31"/>
        <item x="54"/>
        <item x="16"/>
        <item x="28"/>
        <item x="5"/>
        <item x="20"/>
        <item x="47"/>
        <item x="6"/>
        <item x="0"/>
        <item x="30"/>
        <item x="43"/>
        <item x="60"/>
        <item x="33"/>
        <item x="58"/>
        <item x="18"/>
        <item x="46"/>
        <item x="62"/>
        <item x="42"/>
        <item x="13"/>
        <item x="64"/>
        <item x="19"/>
        <item x="21"/>
        <item x="4"/>
        <item x="55"/>
        <item x="24"/>
        <item x="11"/>
        <item x="61"/>
        <item x="22"/>
        <item x="44"/>
        <item x="35"/>
        <item x="48"/>
        <item x="8"/>
        <item x="34"/>
        <item x="38"/>
        <item x="40"/>
        <item x="39"/>
        <item x="63"/>
        <item x="27"/>
        <item x="25"/>
        <item x="37"/>
        <item x="59"/>
        <item x="45"/>
        <item x="9"/>
        <item x="15"/>
        <item x="7"/>
        <item x="10"/>
        <item x="23"/>
        <item t="default"/>
      </items>
    </pivotField>
    <pivotField showAll="0"/>
    <pivotField axis="axisRow" showAll="0" sortType="descending">
      <items count="7">
        <item x="1"/>
        <item x="2"/>
        <item x="4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7">
    <i>
      <x v="1"/>
    </i>
    <i>
      <x v="3"/>
    </i>
    <i>
      <x v="5"/>
    </i>
    <i>
      <x/>
    </i>
    <i>
      <x v="2"/>
    </i>
    <i>
      <x v="4"/>
    </i>
    <i t="grand">
      <x/>
    </i>
  </rowItems>
  <colItems count="1">
    <i/>
  </colItems>
  <dataFields count="1">
    <dataField name="Suma de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C54CE-70BE-4778-A619-C2119158D974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showAll="0">
      <items count="68">
        <item x="2"/>
        <item x="66"/>
        <item x="53"/>
        <item x="1"/>
        <item x="29"/>
        <item x="41"/>
        <item x="17"/>
        <item x="26"/>
        <item x="51"/>
        <item x="12"/>
        <item x="14"/>
        <item x="50"/>
        <item x="56"/>
        <item x="57"/>
        <item x="3"/>
        <item x="52"/>
        <item x="49"/>
        <item x="36"/>
        <item x="32"/>
        <item x="65"/>
        <item x="31"/>
        <item x="54"/>
        <item x="16"/>
        <item x="28"/>
        <item x="5"/>
        <item x="20"/>
        <item x="47"/>
        <item x="6"/>
        <item x="0"/>
        <item x="30"/>
        <item x="43"/>
        <item x="60"/>
        <item x="33"/>
        <item x="58"/>
        <item x="18"/>
        <item x="46"/>
        <item x="62"/>
        <item x="42"/>
        <item x="13"/>
        <item x="64"/>
        <item x="19"/>
        <item x="21"/>
        <item x="4"/>
        <item x="55"/>
        <item x="24"/>
        <item x="11"/>
        <item x="61"/>
        <item x="22"/>
        <item x="44"/>
        <item x="35"/>
        <item x="48"/>
        <item x="8"/>
        <item x="34"/>
        <item x="38"/>
        <item x="40"/>
        <item x="39"/>
        <item x="63"/>
        <item x="27"/>
        <item x="25"/>
        <item x="37"/>
        <item x="59"/>
        <item x="45"/>
        <item x="9"/>
        <item x="15"/>
        <item x="7"/>
        <item x="10"/>
        <item x="2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Revenue" fld="7" baseField="6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D25EB-5DAF-40E6-AC32-615E5B68CB5A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0">
    <pivotField numFmtId="14" showAll="0">
      <items count="68">
        <item x="2"/>
        <item x="66"/>
        <item x="53"/>
        <item x="1"/>
        <item x="29"/>
        <item x="41"/>
        <item x="17"/>
        <item x="26"/>
        <item x="51"/>
        <item x="12"/>
        <item x="14"/>
        <item x="50"/>
        <item x="56"/>
        <item x="57"/>
        <item x="3"/>
        <item x="52"/>
        <item x="49"/>
        <item x="36"/>
        <item x="32"/>
        <item x="65"/>
        <item x="31"/>
        <item x="54"/>
        <item x="16"/>
        <item x="28"/>
        <item x="5"/>
        <item x="20"/>
        <item x="47"/>
        <item x="6"/>
        <item x="0"/>
        <item x="30"/>
        <item x="43"/>
        <item x="60"/>
        <item x="33"/>
        <item x="58"/>
        <item x="18"/>
        <item x="46"/>
        <item x="62"/>
        <item x="42"/>
        <item x="13"/>
        <item x="64"/>
        <item x="19"/>
        <item x="21"/>
        <item x="4"/>
        <item x="55"/>
        <item x="24"/>
        <item x="11"/>
        <item x="61"/>
        <item x="22"/>
        <item x="44"/>
        <item x="35"/>
        <item x="48"/>
        <item x="8"/>
        <item x="34"/>
        <item x="38"/>
        <item x="40"/>
        <item x="39"/>
        <item x="63"/>
        <item x="27"/>
        <item x="25"/>
        <item x="37"/>
        <item x="59"/>
        <item x="45"/>
        <item x="9"/>
        <item x="15"/>
        <item x="7"/>
        <item x="10"/>
        <item x="23"/>
        <item t="default"/>
      </items>
    </pivotField>
    <pivotField showAll="0"/>
    <pivotField showAll="0"/>
    <pivotField showAll="0"/>
    <pivotField showAll="0"/>
    <pivotField numFmtId="164" showAll="0"/>
    <pivotField showAll="0"/>
    <pivotField dataField="1" numFmtId="164"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8BFA5-59AC-4A5A-8283-DB69ECBC73B5}" name="Sales" displayName="Sales" ref="A1:H121" totalsRowShown="0">
  <autoFilter ref="A1:H121" xr:uid="{CA28BFA5-59AC-4A5A-8283-DB69ECBC73B5}"/>
  <tableColumns count="8">
    <tableColumn id="1" xr3:uid="{95996E14-8A11-4F33-9578-2613A54EB066}" name="Date" dataDxfId="5"/>
    <tableColumn id="2" xr3:uid="{4BF5623D-4A28-4C09-90C3-307E75B186F6}" name="Store"/>
    <tableColumn id="3" xr3:uid="{58257AA8-6648-4057-8641-67132B79AC2F}" name="Product"/>
    <tableColumn id="4" xr3:uid="{83A93683-8C7C-45D0-A5D0-C24D38EAB526}" name="Category"/>
    <tableColumn id="5" xr3:uid="{1F4D62C5-75D4-4D8D-A7DC-5FE0DACCCAD9}" name="Units_Sold"/>
    <tableColumn id="6" xr3:uid="{D42670C1-21D0-43A7-BECA-681FB8923CB8}" name="Unit_Price" dataDxfId="4"/>
    <tableColumn id="7" xr3:uid="{0000123C-2202-4196-9B82-42F6372EF25C}" name="Customer_Segment"/>
    <tableColumn id="8" xr3:uid="{7E6D51C7-8285-4B1E-A28A-1A26A16AB018}" name="Revenue" dataDxfId="3">
      <calculatedColumnFormula>E2*F2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A10" sqref="A10"/>
    </sheetView>
  </sheetViews>
  <sheetFormatPr defaultColWidth="8.88671875" defaultRowHeight="14.4" x14ac:dyDescent="0.3"/>
  <cols>
    <col min="1" max="1" width="10.5546875" bestFit="1" customWidth="1"/>
    <col min="3" max="3" width="9.5546875" customWidth="1"/>
    <col min="4" max="4" width="10.44140625" customWidth="1"/>
    <col min="5" max="5" width="11.88671875" customWidth="1"/>
    <col min="6" max="6" width="11.5546875" customWidth="1"/>
    <col min="7" max="7" width="19.44140625" customWidth="1"/>
    <col min="8" max="8" width="1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</row>
    <row r="2" spans="1:8" x14ac:dyDescent="0.3">
      <c r="A2" s="5">
        <v>45331</v>
      </c>
      <c r="B2" t="s">
        <v>7</v>
      </c>
      <c r="C2" t="s">
        <v>8</v>
      </c>
      <c r="D2" t="s">
        <v>9</v>
      </c>
      <c r="E2">
        <v>7</v>
      </c>
      <c r="F2" s="3">
        <v>276</v>
      </c>
      <c r="G2" t="s">
        <v>10</v>
      </c>
      <c r="H2" s="3">
        <f>E2*F2</f>
        <v>1932</v>
      </c>
    </row>
    <row r="3" spans="1:8" x14ac:dyDescent="0.3">
      <c r="A3" s="5">
        <v>45295</v>
      </c>
      <c r="B3" t="s">
        <v>7</v>
      </c>
      <c r="C3" t="s">
        <v>8</v>
      </c>
      <c r="D3" t="s">
        <v>9</v>
      </c>
      <c r="E3">
        <v>19</v>
      </c>
      <c r="F3" s="3">
        <v>218</v>
      </c>
      <c r="G3" t="s">
        <v>11</v>
      </c>
      <c r="H3" s="3">
        <f t="shared" ref="H3:H66" si="0">E3*F3</f>
        <v>4142</v>
      </c>
    </row>
    <row r="4" spans="1:8" x14ac:dyDescent="0.3">
      <c r="A4" s="5">
        <v>45292</v>
      </c>
      <c r="B4" t="s">
        <v>12</v>
      </c>
      <c r="C4" t="s">
        <v>13</v>
      </c>
      <c r="D4" t="s">
        <v>14</v>
      </c>
      <c r="E4">
        <v>14</v>
      </c>
      <c r="F4" s="3">
        <v>110</v>
      </c>
      <c r="G4" t="s">
        <v>15</v>
      </c>
      <c r="H4" s="3">
        <f t="shared" si="0"/>
        <v>1540</v>
      </c>
    </row>
    <row r="5" spans="1:8" x14ac:dyDescent="0.3">
      <c r="A5" s="5">
        <v>45312</v>
      </c>
      <c r="B5" t="s">
        <v>12</v>
      </c>
      <c r="C5" t="s">
        <v>13</v>
      </c>
      <c r="D5" t="s">
        <v>14</v>
      </c>
      <c r="E5">
        <v>11</v>
      </c>
      <c r="F5" s="3">
        <v>139</v>
      </c>
      <c r="G5" t="s">
        <v>10</v>
      </c>
      <c r="H5" s="3">
        <f t="shared" si="0"/>
        <v>1529</v>
      </c>
    </row>
    <row r="6" spans="1:8" x14ac:dyDescent="0.3">
      <c r="A6" s="5">
        <v>45349</v>
      </c>
      <c r="B6" t="s">
        <v>16</v>
      </c>
      <c r="C6" t="s">
        <v>8</v>
      </c>
      <c r="D6" t="s">
        <v>9</v>
      </c>
      <c r="E6">
        <v>1</v>
      </c>
      <c r="F6" s="3">
        <v>266</v>
      </c>
      <c r="G6" t="s">
        <v>11</v>
      </c>
      <c r="H6" s="3">
        <f t="shared" si="0"/>
        <v>266</v>
      </c>
    </row>
    <row r="7" spans="1:8" x14ac:dyDescent="0.3">
      <c r="A7" s="5">
        <v>45324</v>
      </c>
      <c r="B7" t="s">
        <v>12</v>
      </c>
      <c r="C7" t="s">
        <v>13</v>
      </c>
      <c r="D7" t="s">
        <v>14</v>
      </c>
      <c r="E7">
        <v>20</v>
      </c>
      <c r="F7" s="3">
        <v>114</v>
      </c>
      <c r="G7" t="s">
        <v>10</v>
      </c>
      <c r="H7" s="3">
        <f t="shared" si="0"/>
        <v>2280</v>
      </c>
    </row>
    <row r="8" spans="1:8" x14ac:dyDescent="0.3">
      <c r="A8" s="5">
        <v>45328</v>
      </c>
      <c r="B8" t="s">
        <v>17</v>
      </c>
      <c r="C8" t="s">
        <v>18</v>
      </c>
      <c r="D8" t="s">
        <v>14</v>
      </c>
      <c r="E8">
        <v>14</v>
      </c>
      <c r="F8" s="3">
        <v>285</v>
      </c>
      <c r="G8" t="s">
        <v>15</v>
      </c>
      <c r="H8" s="3">
        <f t="shared" si="0"/>
        <v>3990</v>
      </c>
    </row>
    <row r="9" spans="1:8" x14ac:dyDescent="0.3">
      <c r="A9" s="5">
        <v>45380</v>
      </c>
      <c r="B9" t="s">
        <v>16</v>
      </c>
      <c r="C9" t="s">
        <v>19</v>
      </c>
      <c r="D9" t="s">
        <v>9</v>
      </c>
      <c r="E9">
        <v>19</v>
      </c>
      <c r="F9" s="3">
        <v>355</v>
      </c>
      <c r="G9" t="s">
        <v>10</v>
      </c>
      <c r="H9" s="3">
        <f t="shared" si="0"/>
        <v>6745</v>
      </c>
    </row>
    <row r="10" spans="1:8" x14ac:dyDescent="0.3">
      <c r="A10" s="5">
        <v>45364</v>
      </c>
      <c r="B10" t="s">
        <v>16</v>
      </c>
      <c r="C10" t="s">
        <v>20</v>
      </c>
      <c r="D10" t="s">
        <v>9</v>
      </c>
      <c r="E10">
        <v>15</v>
      </c>
      <c r="F10" s="3">
        <v>940</v>
      </c>
      <c r="G10" t="s">
        <v>15</v>
      </c>
      <c r="H10" s="3">
        <f t="shared" si="0"/>
        <v>14100</v>
      </c>
    </row>
    <row r="11" spans="1:8" x14ac:dyDescent="0.3">
      <c r="A11" s="5">
        <v>45377</v>
      </c>
      <c r="B11" t="s">
        <v>12</v>
      </c>
      <c r="C11" t="s">
        <v>13</v>
      </c>
      <c r="D11" t="s">
        <v>14</v>
      </c>
      <c r="E11">
        <v>16</v>
      </c>
      <c r="F11" s="3">
        <v>140</v>
      </c>
      <c r="G11" t="s">
        <v>15</v>
      </c>
      <c r="H11" s="3">
        <f t="shared" si="0"/>
        <v>2240</v>
      </c>
    </row>
    <row r="12" spans="1:8" x14ac:dyDescent="0.3">
      <c r="A12" s="5">
        <v>45381</v>
      </c>
      <c r="B12" t="s">
        <v>7</v>
      </c>
      <c r="C12" t="s">
        <v>20</v>
      </c>
      <c r="D12" t="s">
        <v>9</v>
      </c>
      <c r="E12">
        <v>8</v>
      </c>
      <c r="F12" s="3">
        <v>873</v>
      </c>
      <c r="G12" t="s">
        <v>10</v>
      </c>
      <c r="H12" s="3">
        <f t="shared" si="0"/>
        <v>6984</v>
      </c>
    </row>
    <row r="13" spans="1:8" x14ac:dyDescent="0.3">
      <c r="A13" s="5">
        <v>45352</v>
      </c>
      <c r="B13" t="s">
        <v>12</v>
      </c>
      <c r="C13" t="s">
        <v>18</v>
      </c>
      <c r="D13" t="s">
        <v>14</v>
      </c>
      <c r="E13">
        <v>7</v>
      </c>
      <c r="F13" s="3">
        <v>321</v>
      </c>
      <c r="G13" t="s">
        <v>15</v>
      </c>
      <c r="H13" s="3">
        <f t="shared" si="0"/>
        <v>2247</v>
      </c>
    </row>
    <row r="14" spans="1:8" x14ac:dyDescent="0.3">
      <c r="A14" s="5">
        <v>45303</v>
      </c>
      <c r="B14" t="s">
        <v>17</v>
      </c>
      <c r="C14" t="s">
        <v>18</v>
      </c>
      <c r="D14" t="s">
        <v>14</v>
      </c>
      <c r="E14">
        <v>18</v>
      </c>
      <c r="F14" s="3">
        <v>321</v>
      </c>
      <c r="G14" t="s">
        <v>15</v>
      </c>
      <c r="H14" s="3">
        <f t="shared" si="0"/>
        <v>5778</v>
      </c>
    </row>
    <row r="15" spans="1:8" x14ac:dyDescent="0.3">
      <c r="A15" s="5">
        <v>45344</v>
      </c>
      <c r="B15" t="s">
        <v>17</v>
      </c>
      <c r="C15" t="s">
        <v>18</v>
      </c>
      <c r="D15" t="s">
        <v>14</v>
      </c>
      <c r="E15">
        <v>4</v>
      </c>
      <c r="F15" s="3">
        <v>275</v>
      </c>
      <c r="G15" t="s">
        <v>10</v>
      </c>
      <c r="H15" s="3">
        <f t="shared" si="0"/>
        <v>1100</v>
      </c>
    </row>
    <row r="16" spans="1:8" x14ac:dyDescent="0.3">
      <c r="A16" s="5">
        <v>45331</v>
      </c>
      <c r="B16" t="s">
        <v>16</v>
      </c>
      <c r="C16" t="s">
        <v>13</v>
      </c>
      <c r="D16" t="s">
        <v>14</v>
      </c>
      <c r="E16">
        <v>11</v>
      </c>
      <c r="F16" s="3">
        <v>89</v>
      </c>
      <c r="G16" t="s">
        <v>15</v>
      </c>
      <c r="H16" s="3">
        <f t="shared" si="0"/>
        <v>979</v>
      </c>
    </row>
    <row r="17" spans="1:8" x14ac:dyDescent="0.3">
      <c r="A17" s="5">
        <v>45304</v>
      </c>
      <c r="B17" t="s">
        <v>16</v>
      </c>
      <c r="C17" t="s">
        <v>18</v>
      </c>
      <c r="D17" t="s">
        <v>14</v>
      </c>
      <c r="E17">
        <v>1</v>
      </c>
      <c r="F17" s="3">
        <v>292</v>
      </c>
      <c r="G17" t="s">
        <v>15</v>
      </c>
      <c r="H17" s="3">
        <f t="shared" si="0"/>
        <v>292</v>
      </c>
    </row>
    <row r="18" spans="1:8" x14ac:dyDescent="0.3">
      <c r="A18" s="5">
        <v>45379</v>
      </c>
      <c r="B18" t="s">
        <v>16</v>
      </c>
      <c r="C18" t="s">
        <v>8</v>
      </c>
      <c r="D18" t="s">
        <v>9</v>
      </c>
      <c r="E18">
        <v>16</v>
      </c>
      <c r="F18" s="3">
        <v>212</v>
      </c>
      <c r="G18" t="s">
        <v>10</v>
      </c>
      <c r="H18" s="3">
        <f t="shared" si="0"/>
        <v>3392</v>
      </c>
    </row>
    <row r="19" spans="1:8" x14ac:dyDescent="0.3">
      <c r="A19" s="5">
        <v>45322</v>
      </c>
      <c r="B19" t="s">
        <v>16</v>
      </c>
      <c r="C19" t="s">
        <v>8</v>
      </c>
      <c r="D19" t="s">
        <v>9</v>
      </c>
      <c r="E19">
        <v>15</v>
      </c>
      <c r="F19" s="3">
        <v>254</v>
      </c>
      <c r="G19" t="s">
        <v>10</v>
      </c>
      <c r="H19" s="3">
        <f t="shared" si="0"/>
        <v>3810</v>
      </c>
    </row>
    <row r="20" spans="1:8" x14ac:dyDescent="0.3">
      <c r="A20" s="5">
        <v>45303</v>
      </c>
      <c r="B20" t="s">
        <v>16</v>
      </c>
      <c r="C20" t="s">
        <v>13</v>
      </c>
      <c r="D20" t="s">
        <v>14</v>
      </c>
      <c r="E20">
        <v>1</v>
      </c>
      <c r="F20" s="3">
        <v>156</v>
      </c>
      <c r="G20" t="s">
        <v>11</v>
      </c>
      <c r="H20" s="3">
        <f t="shared" si="0"/>
        <v>156</v>
      </c>
    </row>
    <row r="21" spans="1:8" x14ac:dyDescent="0.3">
      <c r="A21" s="5">
        <v>45299</v>
      </c>
      <c r="B21" t="s">
        <v>7</v>
      </c>
      <c r="C21" t="s">
        <v>8</v>
      </c>
      <c r="D21" t="s">
        <v>9</v>
      </c>
      <c r="E21">
        <v>13</v>
      </c>
      <c r="F21" s="3">
        <v>260</v>
      </c>
      <c r="G21" t="s">
        <v>15</v>
      </c>
      <c r="H21" s="3">
        <f t="shared" si="0"/>
        <v>3380</v>
      </c>
    </row>
    <row r="22" spans="1:8" x14ac:dyDescent="0.3">
      <c r="A22" s="5">
        <v>45339</v>
      </c>
      <c r="B22" t="s">
        <v>7</v>
      </c>
      <c r="C22" t="s">
        <v>21</v>
      </c>
      <c r="D22" t="s">
        <v>9</v>
      </c>
      <c r="E22">
        <v>11</v>
      </c>
      <c r="F22" s="3">
        <v>644</v>
      </c>
      <c r="G22" t="s">
        <v>11</v>
      </c>
      <c r="H22" s="3">
        <f t="shared" si="0"/>
        <v>7084</v>
      </c>
    </row>
    <row r="23" spans="1:8" x14ac:dyDescent="0.3">
      <c r="A23" s="5">
        <v>45364</v>
      </c>
      <c r="B23" t="s">
        <v>12</v>
      </c>
      <c r="C23" t="s">
        <v>19</v>
      </c>
      <c r="D23" t="s">
        <v>9</v>
      </c>
      <c r="E23">
        <v>8</v>
      </c>
      <c r="F23" s="3">
        <v>435</v>
      </c>
      <c r="G23" t="s">
        <v>10</v>
      </c>
      <c r="H23" s="3">
        <f t="shared" si="0"/>
        <v>3480</v>
      </c>
    </row>
    <row r="24" spans="1:8" x14ac:dyDescent="0.3">
      <c r="A24" s="5">
        <v>45328</v>
      </c>
      <c r="B24" t="s">
        <v>16</v>
      </c>
      <c r="C24" t="s">
        <v>8</v>
      </c>
      <c r="D24" t="s">
        <v>9</v>
      </c>
      <c r="E24">
        <v>13</v>
      </c>
      <c r="F24" s="3">
        <v>269</v>
      </c>
      <c r="G24" t="s">
        <v>10</v>
      </c>
      <c r="H24" s="3">
        <f t="shared" si="0"/>
        <v>3497</v>
      </c>
    </row>
    <row r="25" spans="1:8" x14ac:dyDescent="0.3">
      <c r="A25" s="5">
        <v>45347</v>
      </c>
      <c r="B25" t="s">
        <v>17</v>
      </c>
      <c r="C25" t="s">
        <v>21</v>
      </c>
      <c r="D25" t="s">
        <v>9</v>
      </c>
      <c r="E25">
        <v>10</v>
      </c>
      <c r="F25" s="3">
        <v>625</v>
      </c>
      <c r="G25" t="s">
        <v>11</v>
      </c>
      <c r="H25" s="3">
        <f t="shared" si="0"/>
        <v>6250</v>
      </c>
    </row>
    <row r="26" spans="1:8" x14ac:dyDescent="0.3">
      <c r="A26" s="5">
        <v>45326</v>
      </c>
      <c r="B26" t="s">
        <v>16</v>
      </c>
      <c r="C26" t="s">
        <v>20</v>
      </c>
      <c r="D26" t="s">
        <v>9</v>
      </c>
      <c r="E26">
        <v>5</v>
      </c>
      <c r="F26" s="3">
        <v>894</v>
      </c>
      <c r="G26" t="s">
        <v>11</v>
      </c>
      <c r="H26" s="3">
        <f t="shared" si="0"/>
        <v>4470</v>
      </c>
    </row>
    <row r="27" spans="1:8" x14ac:dyDescent="0.3">
      <c r="A27" s="5">
        <v>45348</v>
      </c>
      <c r="B27" t="s">
        <v>12</v>
      </c>
      <c r="C27" t="s">
        <v>13</v>
      </c>
      <c r="D27" t="s">
        <v>14</v>
      </c>
      <c r="E27">
        <v>5</v>
      </c>
      <c r="F27" s="3">
        <v>118</v>
      </c>
      <c r="G27" t="s">
        <v>15</v>
      </c>
      <c r="H27" s="3">
        <f t="shared" si="0"/>
        <v>590</v>
      </c>
    </row>
    <row r="28" spans="1:8" x14ac:dyDescent="0.3">
      <c r="A28" s="5">
        <v>45355</v>
      </c>
      <c r="B28" t="s">
        <v>12</v>
      </c>
      <c r="C28" t="s">
        <v>13</v>
      </c>
      <c r="D28" t="s">
        <v>14</v>
      </c>
      <c r="E28">
        <v>5</v>
      </c>
      <c r="F28" s="3">
        <v>81</v>
      </c>
      <c r="G28" t="s">
        <v>15</v>
      </c>
      <c r="H28" s="3">
        <f t="shared" si="0"/>
        <v>405</v>
      </c>
    </row>
    <row r="29" spans="1:8" x14ac:dyDescent="0.3">
      <c r="A29" s="5">
        <v>45382</v>
      </c>
      <c r="B29" t="s">
        <v>7</v>
      </c>
      <c r="C29" t="s">
        <v>8</v>
      </c>
      <c r="D29" t="s">
        <v>9</v>
      </c>
      <c r="E29">
        <v>6</v>
      </c>
      <c r="F29" s="3">
        <v>223</v>
      </c>
      <c r="G29" t="s">
        <v>10</v>
      </c>
      <c r="H29" s="3">
        <f t="shared" si="0"/>
        <v>1338</v>
      </c>
    </row>
    <row r="30" spans="1:8" x14ac:dyDescent="0.3">
      <c r="A30" s="5">
        <v>45351</v>
      </c>
      <c r="B30" t="s">
        <v>17</v>
      </c>
      <c r="C30" t="s">
        <v>18</v>
      </c>
      <c r="D30" t="s">
        <v>14</v>
      </c>
      <c r="E30">
        <v>1</v>
      </c>
      <c r="F30" s="3">
        <v>350</v>
      </c>
      <c r="G30" t="s">
        <v>15</v>
      </c>
      <c r="H30" s="3">
        <f t="shared" si="0"/>
        <v>350</v>
      </c>
    </row>
    <row r="31" spans="1:8" x14ac:dyDescent="0.3">
      <c r="A31" s="5">
        <v>45372</v>
      </c>
      <c r="B31" t="s">
        <v>17</v>
      </c>
      <c r="C31" t="s">
        <v>19</v>
      </c>
      <c r="D31" t="s">
        <v>9</v>
      </c>
      <c r="E31">
        <v>5</v>
      </c>
      <c r="F31" s="3">
        <v>410</v>
      </c>
      <c r="G31" t="s">
        <v>11</v>
      </c>
      <c r="H31" s="3">
        <f t="shared" si="0"/>
        <v>2050</v>
      </c>
    </row>
    <row r="32" spans="1:8" x14ac:dyDescent="0.3">
      <c r="A32" s="5">
        <v>45301</v>
      </c>
      <c r="B32" t="s">
        <v>7</v>
      </c>
      <c r="C32" t="s">
        <v>8</v>
      </c>
      <c r="D32" t="s">
        <v>9</v>
      </c>
      <c r="E32">
        <v>15</v>
      </c>
      <c r="F32" s="3">
        <v>299</v>
      </c>
      <c r="G32" t="s">
        <v>15</v>
      </c>
      <c r="H32" s="3">
        <f t="shared" si="0"/>
        <v>4485</v>
      </c>
    </row>
    <row r="33" spans="1:8" x14ac:dyDescent="0.3">
      <c r="A33" s="5">
        <v>45371</v>
      </c>
      <c r="B33" t="s">
        <v>16</v>
      </c>
      <c r="C33" t="s">
        <v>13</v>
      </c>
      <c r="D33" t="s">
        <v>14</v>
      </c>
      <c r="E33">
        <v>18</v>
      </c>
      <c r="F33" s="3">
        <v>84</v>
      </c>
      <c r="G33" t="s">
        <v>11</v>
      </c>
      <c r="H33" s="3">
        <f t="shared" si="0"/>
        <v>1512</v>
      </c>
    </row>
    <row r="34" spans="1:8" x14ac:dyDescent="0.3">
      <c r="A34" s="5">
        <v>45339</v>
      </c>
      <c r="B34" t="s">
        <v>16</v>
      </c>
      <c r="C34" t="s">
        <v>19</v>
      </c>
      <c r="D34" t="s">
        <v>9</v>
      </c>
      <c r="E34">
        <v>11</v>
      </c>
      <c r="F34" s="3">
        <v>388</v>
      </c>
      <c r="G34" t="s">
        <v>11</v>
      </c>
      <c r="H34" s="3">
        <f t="shared" si="0"/>
        <v>4268</v>
      </c>
    </row>
    <row r="35" spans="1:8" x14ac:dyDescent="0.3">
      <c r="A35" s="5">
        <v>45323</v>
      </c>
      <c r="B35" t="s">
        <v>16</v>
      </c>
      <c r="C35" t="s">
        <v>8</v>
      </c>
      <c r="D35" t="s">
        <v>9</v>
      </c>
      <c r="E35">
        <v>3</v>
      </c>
      <c r="F35" s="3">
        <v>222</v>
      </c>
      <c r="G35" t="s">
        <v>10</v>
      </c>
      <c r="H35" s="3">
        <f t="shared" si="0"/>
        <v>666</v>
      </c>
    </row>
    <row r="36" spans="1:8" x14ac:dyDescent="0.3">
      <c r="A36" s="5">
        <v>45297</v>
      </c>
      <c r="B36" t="s">
        <v>16</v>
      </c>
      <c r="C36" t="s">
        <v>18</v>
      </c>
      <c r="D36" t="s">
        <v>14</v>
      </c>
      <c r="E36">
        <v>12</v>
      </c>
      <c r="F36" s="3">
        <v>329</v>
      </c>
      <c r="G36" t="s">
        <v>11</v>
      </c>
      <c r="H36" s="3">
        <f t="shared" si="0"/>
        <v>3948</v>
      </c>
    </row>
    <row r="37" spans="1:8" x14ac:dyDescent="0.3">
      <c r="A37" s="5">
        <v>45332</v>
      </c>
      <c r="B37" t="s">
        <v>17</v>
      </c>
      <c r="C37" t="s">
        <v>13</v>
      </c>
      <c r="D37" t="s">
        <v>14</v>
      </c>
      <c r="E37">
        <v>15</v>
      </c>
      <c r="F37" s="3">
        <v>102</v>
      </c>
      <c r="G37" t="s">
        <v>11</v>
      </c>
      <c r="H37" s="3">
        <f t="shared" si="0"/>
        <v>1530</v>
      </c>
    </row>
    <row r="38" spans="1:8" x14ac:dyDescent="0.3">
      <c r="A38" s="5">
        <v>45320</v>
      </c>
      <c r="B38" t="s">
        <v>17</v>
      </c>
      <c r="C38" t="s">
        <v>20</v>
      </c>
      <c r="D38" t="s">
        <v>9</v>
      </c>
      <c r="E38">
        <v>18</v>
      </c>
      <c r="F38" s="3">
        <v>937</v>
      </c>
      <c r="G38" t="s">
        <v>15</v>
      </c>
      <c r="H38" s="3">
        <f t="shared" si="0"/>
        <v>16866</v>
      </c>
    </row>
    <row r="39" spans="1:8" x14ac:dyDescent="0.3">
      <c r="A39" s="5">
        <v>45317</v>
      </c>
      <c r="B39" t="s">
        <v>7</v>
      </c>
      <c r="C39" t="s">
        <v>20</v>
      </c>
      <c r="D39" t="s">
        <v>9</v>
      </c>
      <c r="E39">
        <v>8</v>
      </c>
      <c r="F39" s="3">
        <v>910</v>
      </c>
      <c r="G39" t="s">
        <v>10</v>
      </c>
      <c r="H39" s="3">
        <f t="shared" si="0"/>
        <v>7280</v>
      </c>
    </row>
    <row r="40" spans="1:8" x14ac:dyDescent="0.3">
      <c r="A40" s="5">
        <v>45335</v>
      </c>
      <c r="B40" t="s">
        <v>7</v>
      </c>
      <c r="C40" t="s">
        <v>20</v>
      </c>
      <c r="D40" t="s">
        <v>9</v>
      </c>
      <c r="E40">
        <v>10</v>
      </c>
      <c r="F40" s="3">
        <v>877</v>
      </c>
      <c r="G40" t="s">
        <v>11</v>
      </c>
      <c r="H40" s="3">
        <f t="shared" si="0"/>
        <v>8770</v>
      </c>
    </row>
    <row r="41" spans="1:8" x14ac:dyDescent="0.3">
      <c r="A41" s="5">
        <v>45301</v>
      </c>
      <c r="B41" t="s">
        <v>17</v>
      </c>
      <c r="C41" t="s">
        <v>13</v>
      </c>
      <c r="D41" t="s">
        <v>14</v>
      </c>
      <c r="E41">
        <v>7</v>
      </c>
      <c r="F41" s="3">
        <v>81</v>
      </c>
      <c r="G41" t="s">
        <v>15</v>
      </c>
      <c r="H41" s="3">
        <f t="shared" si="0"/>
        <v>567</v>
      </c>
    </row>
    <row r="42" spans="1:8" x14ac:dyDescent="0.3">
      <c r="A42" s="5">
        <v>45365</v>
      </c>
      <c r="B42" t="s">
        <v>16</v>
      </c>
      <c r="C42" t="s">
        <v>21</v>
      </c>
      <c r="D42" t="s">
        <v>9</v>
      </c>
      <c r="E42">
        <v>17</v>
      </c>
      <c r="F42" s="3">
        <v>628</v>
      </c>
      <c r="G42" t="s">
        <v>15</v>
      </c>
      <c r="H42" s="3">
        <f t="shared" si="0"/>
        <v>10676</v>
      </c>
    </row>
    <row r="43" spans="1:8" x14ac:dyDescent="0.3">
      <c r="A43" s="5">
        <v>45297</v>
      </c>
      <c r="B43" t="s">
        <v>7</v>
      </c>
      <c r="C43" t="s">
        <v>20</v>
      </c>
      <c r="D43" t="s">
        <v>9</v>
      </c>
      <c r="E43">
        <v>12</v>
      </c>
      <c r="F43" s="3">
        <v>948</v>
      </c>
      <c r="G43" t="s">
        <v>15</v>
      </c>
      <c r="H43" s="3">
        <f t="shared" si="0"/>
        <v>11376</v>
      </c>
    </row>
    <row r="44" spans="1:8" x14ac:dyDescent="0.3">
      <c r="A44" s="5">
        <v>45360</v>
      </c>
      <c r="B44" t="s">
        <v>12</v>
      </c>
      <c r="C44" t="s">
        <v>20</v>
      </c>
      <c r="D44" t="s">
        <v>9</v>
      </c>
      <c r="E44">
        <v>16</v>
      </c>
      <c r="F44" s="3">
        <v>945</v>
      </c>
      <c r="G44" t="s">
        <v>11</v>
      </c>
      <c r="H44" s="3">
        <f t="shared" si="0"/>
        <v>15120</v>
      </c>
    </row>
    <row r="45" spans="1:8" x14ac:dyDescent="0.3">
      <c r="A45" s="5">
        <v>45299</v>
      </c>
      <c r="B45" t="s">
        <v>16</v>
      </c>
      <c r="C45" t="s">
        <v>18</v>
      </c>
      <c r="D45" t="s">
        <v>14</v>
      </c>
      <c r="E45">
        <v>9</v>
      </c>
      <c r="F45" s="3">
        <v>313</v>
      </c>
      <c r="G45" t="s">
        <v>11</v>
      </c>
      <c r="H45" s="3">
        <f t="shared" si="0"/>
        <v>2817</v>
      </c>
    </row>
    <row r="46" spans="1:8" x14ac:dyDescent="0.3">
      <c r="A46" s="5">
        <v>45315</v>
      </c>
      <c r="B46" t="s">
        <v>7</v>
      </c>
      <c r="C46" t="s">
        <v>13</v>
      </c>
      <c r="D46" t="s">
        <v>14</v>
      </c>
      <c r="E46">
        <v>6</v>
      </c>
      <c r="F46" s="3">
        <v>86</v>
      </c>
      <c r="G46" t="s">
        <v>15</v>
      </c>
      <c r="H46" s="3">
        <f t="shared" si="0"/>
        <v>516</v>
      </c>
    </row>
    <row r="47" spans="1:8" x14ac:dyDescent="0.3">
      <c r="A47" s="5">
        <v>45373</v>
      </c>
      <c r="B47" t="s">
        <v>7</v>
      </c>
      <c r="C47" t="s">
        <v>21</v>
      </c>
      <c r="D47" t="s">
        <v>9</v>
      </c>
      <c r="E47">
        <v>10</v>
      </c>
      <c r="F47" s="3">
        <v>611</v>
      </c>
      <c r="G47" t="s">
        <v>10</v>
      </c>
      <c r="H47" s="3">
        <f t="shared" si="0"/>
        <v>6110</v>
      </c>
    </row>
    <row r="48" spans="1:8" x14ac:dyDescent="0.3">
      <c r="A48" s="5">
        <v>45366</v>
      </c>
      <c r="B48" t="s">
        <v>12</v>
      </c>
      <c r="C48" t="s">
        <v>8</v>
      </c>
      <c r="D48" t="s">
        <v>9</v>
      </c>
      <c r="E48">
        <v>13</v>
      </c>
      <c r="F48" s="3">
        <v>289</v>
      </c>
      <c r="G48" t="s">
        <v>10</v>
      </c>
      <c r="H48" s="3">
        <f t="shared" si="0"/>
        <v>3757</v>
      </c>
    </row>
    <row r="49" spans="1:8" x14ac:dyDescent="0.3">
      <c r="A49" s="5">
        <v>45368</v>
      </c>
      <c r="B49" t="s">
        <v>7</v>
      </c>
      <c r="C49" t="s">
        <v>21</v>
      </c>
      <c r="D49" t="s">
        <v>9</v>
      </c>
      <c r="E49">
        <v>18</v>
      </c>
      <c r="F49" s="3">
        <v>605</v>
      </c>
      <c r="G49" t="s">
        <v>10</v>
      </c>
      <c r="H49" s="3">
        <f t="shared" si="0"/>
        <v>10890</v>
      </c>
    </row>
    <row r="50" spans="1:8" x14ac:dyDescent="0.3">
      <c r="A50" s="5">
        <v>45367</v>
      </c>
      <c r="B50" t="s">
        <v>16</v>
      </c>
      <c r="C50" t="s">
        <v>19</v>
      </c>
      <c r="D50" t="s">
        <v>9</v>
      </c>
      <c r="E50">
        <v>7</v>
      </c>
      <c r="F50" s="3">
        <v>442</v>
      </c>
      <c r="G50" t="s">
        <v>10</v>
      </c>
      <c r="H50" s="3">
        <f t="shared" si="0"/>
        <v>3094</v>
      </c>
    </row>
    <row r="51" spans="1:8" x14ac:dyDescent="0.3">
      <c r="A51" s="5">
        <v>45371</v>
      </c>
      <c r="B51" t="s">
        <v>17</v>
      </c>
      <c r="C51" t="s">
        <v>20</v>
      </c>
      <c r="D51" t="s">
        <v>9</v>
      </c>
      <c r="E51">
        <v>1</v>
      </c>
      <c r="F51" s="3">
        <v>921</v>
      </c>
      <c r="G51" t="s">
        <v>11</v>
      </c>
      <c r="H51" s="3">
        <f t="shared" si="0"/>
        <v>921</v>
      </c>
    </row>
    <row r="52" spans="1:8" x14ac:dyDescent="0.3">
      <c r="A52" s="5">
        <v>45352</v>
      </c>
      <c r="B52" t="s">
        <v>16</v>
      </c>
      <c r="C52" t="s">
        <v>21</v>
      </c>
      <c r="D52" t="s">
        <v>9</v>
      </c>
      <c r="E52">
        <v>19</v>
      </c>
      <c r="F52" s="3">
        <v>634</v>
      </c>
      <c r="G52" t="s">
        <v>10</v>
      </c>
      <c r="H52" s="3">
        <f t="shared" si="0"/>
        <v>12046</v>
      </c>
    </row>
    <row r="53" spans="1:8" x14ac:dyDescent="0.3">
      <c r="A53" s="5">
        <v>45298</v>
      </c>
      <c r="B53" t="s">
        <v>16</v>
      </c>
      <c r="C53" t="s">
        <v>20</v>
      </c>
      <c r="D53" t="s">
        <v>9</v>
      </c>
      <c r="E53">
        <v>2</v>
      </c>
      <c r="F53" s="3">
        <v>873</v>
      </c>
      <c r="G53" t="s">
        <v>11</v>
      </c>
      <c r="H53" s="3">
        <f t="shared" si="0"/>
        <v>1746</v>
      </c>
    </row>
    <row r="54" spans="1:8" x14ac:dyDescent="0.3">
      <c r="A54" s="5">
        <v>45312</v>
      </c>
      <c r="B54" t="s">
        <v>16</v>
      </c>
      <c r="C54" t="s">
        <v>8</v>
      </c>
      <c r="D54" t="s">
        <v>9</v>
      </c>
      <c r="E54">
        <v>18</v>
      </c>
      <c r="F54" s="3">
        <v>231</v>
      </c>
      <c r="G54" t="s">
        <v>11</v>
      </c>
      <c r="H54" s="3">
        <f t="shared" si="0"/>
        <v>4158</v>
      </c>
    </row>
    <row r="55" spans="1:8" x14ac:dyDescent="0.3">
      <c r="A55" s="5">
        <v>45343</v>
      </c>
      <c r="B55" t="s">
        <v>7</v>
      </c>
      <c r="C55" t="s">
        <v>20</v>
      </c>
      <c r="D55" t="s">
        <v>9</v>
      </c>
      <c r="E55">
        <v>8</v>
      </c>
      <c r="F55" s="3">
        <v>878</v>
      </c>
      <c r="G55" t="s">
        <v>15</v>
      </c>
      <c r="H55" s="3">
        <f t="shared" si="0"/>
        <v>7024</v>
      </c>
    </row>
    <row r="56" spans="1:8" x14ac:dyDescent="0.3">
      <c r="A56" s="5">
        <v>45366</v>
      </c>
      <c r="B56" t="s">
        <v>17</v>
      </c>
      <c r="C56" t="s">
        <v>21</v>
      </c>
      <c r="D56" t="s">
        <v>9</v>
      </c>
      <c r="E56">
        <v>4</v>
      </c>
      <c r="F56" s="3">
        <v>604</v>
      </c>
      <c r="G56" t="s">
        <v>11</v>
      </c>
      <c r="H56" s="3">
        <f t="shared" si="0"/>
        <v>2416</v>
      </c>
    </row>
    <row r="57" spans="1:8" x14ac:dyDescent="0.3">
      <c r="A57" s="5">
        <v>45344</v>
      </c>
      <c r="B57" t="s">
        <v>16</v>
      </c>
      <c r="C57" t="s">
        <v>20</v>
      </c>
      <c r="D57" t="s">
        <v>9</v>
      </c>
      <c r="E57">
        <v>2</v>
      </c>
      <c r="F57" s="3">
        <v>917</v>
      </c>
      <c r="G57" t="s">
        <v>15</v>
      </c>
      <c r="H57" s="3">
        <f t="shared" si="0"/>
        <v>1834</v>
      </c>
    </row>
    <row r="58" spans="1:8" x14ac:dyDescent="0.3">
      <c r="A58" s="5">
        <v>45368</v>
      </c>
      <c r="B58" t="s">
        <v>12</v>
      </c>
      <c r="C58" t="s">
        <v>8</v>
      </c>
      <c r="D58" t="s">
        <v>9</v>
      </c>
      <c r="E58">
        <v>2</v>
      </c>
      <c r="F58" s="3">
        <v>218</v>
      </c>
      <c r="G58" t="s">
        <v>10</v>
      </c>
      <c r="H58" s="3">
        <f t="shared" si="0"/>
        <v>436</v>
      </c>
    </row>
    <row r="59" spans="1:8" x14ac:dyDescent="0.3">
      <c r="A59" s="5">
        <v>45333</v>
      </c>
      <c r="B59" t="s">
        <v>16</v>
      </c>
      <c r="C59" t="s">
        <v>20</v>
      </c>
      <c r="D59" t="s">
        <v>9</v>
      </c>
      <c r="E59">
        <v>13</v>
      </c>
      <c r="F59" s="3">
        <v>861</v>
      </c>
      <c r="G59" t="s">
        <v>11</v>
      </c>
      <c r="H59" s="3">
        <f t="shared" si="0"/>
        <v>11193</v>
      </c>
    </row>
    <row r="60" spans="1:8" x14ac:dyDescent="0.3">
      <c r="A60" s="5">
        <v>45357</v>
      </c>
      <c r="B60" t="s">
        <v>16</v>
      </c>
      <c r="C60" t="s">
        <v>19</v>
      </c>
      <c r="D60" t="s">
        <v>9</v>
      </c>
      <c r="E60">
        <v>15</v>
      </c>
      <c r="F60" s="3">
        <v>419</v>
      </c>
      <c r="G60" t="s">
        <v>15</v>
      </c>
      <c r="H60" s="3">
        <f t="shared" si="0"/>
        <v>6285</v>
      </c>
    </row>
    <row r="61" spans="1:8" x14ac:dyDescent="0.3">
      <c r="A61" s="5">
        <v>45376</v>
      </c>
      <c r="B61" t="s">
        <v>12</v>
      </c>
      <c r="C61" t="s">
        <v>20</v>
      </c>
      <c r="D61" t="s">
        <v>9</v>
      </c>
      <c r="E61">
        <v>12</v>
      </c>
      <c r="F61" s="3">
        <v>932</v>
      </c>
      <c r="G61" t="s">
        <v>11</v>
      </c>
      <c r="H61" s="3">
        <f t="shared" si="0"/>
        <v>11184</v>
      </c>
    </row>
    <row r="62" spans="1:8" x14ac:dyDescent="0.3">
      <c r="A62" s="5">
        <v>45340</v>
      </c>
      <c r="B62" t="s">
        <v>16</v>
      </c>
      <c r="C62" t="s">
        <v>19</v>
      </c>
      <c r="D62" t="s">
        <v>9</v>
      </c>
      <c r="E62">
        <v>14</v>
      </c>
      <c r="F62" s="3">
        <v>432</v>
      </c>
      <c r="G62" t="s">
        <v>10</v>
      </c>
      <c r="H62" s="3">
        <f t="shared" si="0"/>
        <v>6048</v>
      </c>
    </row>
    <row r="63" spans="1:8" x14ac:dyDescent="0.3">
      <c r="A63" s="5">
        <v>45367</v>
      </c>
      <c r="B63" t="s">
        <v>16</v>
      </c>
      <c r="C63" t="s">
        <v>18</v>
      </c>
      <c r="D63" t="s">
        <v>14</v>
      </c>
      <c r="E63">
        <v>18</v>
      </c>
      <c r="F63" s="3">
        <v>347</v>
      </c>
      <c r="G63" t="s">
        <v>10</v>
      </c>
      <c r="H63" s="3">
        <f t="shared" si="0"/>
        <v>6246</v>
      </c>
    </row>
    <row r="64" spans="1:8" x14ac:dyDescent="0.3">
      <c r="A64" s="5">
        <v>45357</v>
      </c>
      <c r="B64" t="s">
        <v>7</v>
      </c>
      <c r="C64" t="s">
        <v>19</v>
      </c>
      <c r="D64" t="s">
        <v>9</v>
      </c>
      <c r="E64">
        <v>20</v>
      </c>
      <c r="F64" s="3">
        <v>402</v>
      </c>
      <c r="G64" t="s">
        <v>15</v>
      </c>
      <c r="H64" s="3">
        <f t="shared" si="0"/>
        <v>8040</v>
      </c>
    </row>
    <row r="65" spans="1:8" x14ac:dyDescent="0.3">
      <c r="A65" s="5">
        <v>45339</v>
      </c>
      <c r="B65" t="s">
        <v>12</v>
      </c>
      <c r="C65" t="s">
        <v>19</v>
      </c>
      <c r="D65" t="s">
        <v>9</v>
      </c>
      <c r="E65">
        <v>3</v>
      </c>
      <c r="F65" s="3">
        <v>391</v>
      </c>
      <c r="G65" t="s">
        <v>11</v>
      </c>
      <c r="H65" s="3">
        <f t="shared" si="0"/>
        <v>1173</v>
      </c>
    </row>
    <row r="66" spans="1:8" x14ac:dyDescent="0.3">
      <c r="A66" s="5">
        <v>45372</v>
      </c>
      <c r="B66" t="s">
        <v>16</v>
      </c>
      <c r="C66" t="s">
        <v>18</v>
      </c>
      <c r="D66" t="s">
        <v>14</v>
      </c>
      <c r="E66">
        <v>20</v>
      </c>
      <c r="F66" s="3">
        <v>321</v>
      </c>
      <c r="G66" t="s">
        <v>15</v>
      </c>
      <c r="H66" s="3">
        <f t="shared" si="0"/>
        <v>6420</v>
      </c>
    </row>
    <row r="67" spans="1:8" x14ac:dyDescent="0.3">
      <c r="A67" s="5">
        <v>45327</v>
      </c>
      <c r="B67" t="s">
        <v>17</v>
      </c>
      <c r="C67" t="s">
        <v>13</v>
      </c>
      <c r="D67" t="s">
        <v>14</v>
      </c>
      <c r="E67">
        <v>20</v>
      </c>
      <c r="F67" s="3">
        <v>160</v>
      </c>
      <c r="G67" t="s">
        <v>11</v>
      </c>
      <c r="H67" s="3">
        <f t="shared" ref="H67:H121" si="1">E67*F67</f>
        <v>3200</v>
      </c>
    </row>
    <row r="68" spans="1:8" x14ac:dyDescent="0.3">
      <c r="A68" s="5">
        <v>45362</v>
      </c>
      <c r="B68" t="s">
        <v>12</v>
      </c>
      <c r="C68" t="s">
        <v>19</v>
      </c>
      <c r="D68" t="s">
        <v>9</v>
      </c>
      <c r="E68">
        <v>1</v>
      </c>
      <c r="F68" s="3">
        <v>404</v>
      </c>
      <c r="G68" t="s">
        <v>10</v>
      </c>
      <c r="H68" s="3">
        <f t="shared" si="1"/>
        <v>404</v>
      </c>
    </row>
    <row r="69" spans="1:8" x14ac:dyDescent="0.3">
      <c r="A69" s="5">
        <v>45314</v>
      </c>
      <c r="B69" t="s">
        <v>12</v>
      </c>
      <c r="C69" t="s">
        <v>8</v>
      </c>
      <c r="D69" t="s">
        <v>9</v>
      </c>
      <c r="E69">
        <v>5</v>
      </c>
      <c r="F69" s="3">
        <v>248</v>
      </c>
      <c r="G69" t="s">
        <v>11</v>
      </c>
      <c r="H69" s="3">
        <f t="shared" si="1"/>
        <v>1240</v>
      </c>
    </row>
    <row r="70" spans="1:8" x14ac:dyDescent="0.3">
      <c r="A70" s="5">
        <v>45343</v>
      </c>
      <c r="B70" t="s">
        <v>7</v>
      </c>
      <c r="C70" t="s">
        <v>21</v>
      </c>
      <c r="D70" t="s">
        <v>9</v>
      </c>
      <c r="E70">
        <v>20</v>
      </c>
      <c r="F70" s="3">
        <v>564</v>
      </c>
      <c r="G70" t="s">
        <v>11</v>
      </c>
      <c r="H70" s="3">
        <f t="shared" si="1"/>
        <v>11280</v>
      </c>
    </row>
    <row r="71" spans="1:8" x14ac:dyDescent="0.3">
      <c r="A71" s="5">
        <v>45308</v>
      </c>
      <c r="B71" t="s">
        <v>12</v>
      </c>
      <c r="C71" t="s">
        <v>18</v>
      </c>
      <c r="D71" t="s">
        <v>14</v>
      </c>
      <c r="E71">
        <v>11</v>
      </c>
      <c r="F71" s="3">
        <v>306</v>
      </c>
      <c r="G71" t="s">
        <v>11</v>
      </c>
      <c r="H71" s="3">
        <f t="shared" si="1"/>
        <v>3366</v>
      </c>
    </row>
    <row r="72" spans="1:8" x14ac:dyDescent="0.3">
      <c r="A72" s="5">
        <v>45302</v>
      </c>
      <c r="B72" t="s">
        <v>16</v>
      </c>
      <c r="C72" t="s">
        <v>8</v>
      </c>
      <c r="D72" t="s">
        <v>9</v>
      </c>
      <c r="E72">
        <v>4</v>
      </c>
      <c r="F72" s="3">
        <v>258</v>
      </c>
      <c r="G72" t="s">
        <v>10</v>
      </c>
      <c r="H72" s="3">
        <f t="shared" si="1"/>
        <v>1032</v>
      </c>
    </row>
    <row r="73" spans="1:8" x14ac:dyDescent="0.3">
      <c r="A73" s="5">
        <v>45313</v>
      </c>
      <c r="B73" t="s">
        <v>12</v>
      </c>
      <c r="C73" t="s">
        <v>18</v>
      </c>
      <c r="D73" t="s">
        <v>14</v>
      </c>
      <c r="E73">
        <v>13</v>
      </c>
      <c r="F73" s="3">
        <v>263</v>
      </c>
      <c r="G73" t="s">
        <v>15</v>
      </c>
      <c r="H73" s="3">
        <f t="shared" si="1"/>
        <v>3419</v>
      </c>
    </row>
    <row r="74" spans="1:8" x14ac:dyDescent="0.3">
      <c r="A74" s="5">
        <v>45328</v>
      </c>
      <c r="B74" t="s">
        <v>12</v>
      </c>
      <c r="C74" t="s">
        <v>19</v>
      </c>
      <c r="D74" t="s">
        <v>9</v>
      </c>
      <c r="E74">
        <v>14</v>
      </c>
      <c r="F74" s="3">
        <v>375</v>
      </c>
      <c r="G74" t="s">
        <v>10</v>
      </c>
      <c r="H74" s="3">
        <f t="shared" si="1"/>
        <v>5250</v>
      </c>
    </row>
    <row r="75" spans="1:8" x14ac:dyDescent="0.3">
      <c r="A75" s="5">
        <v>45294</v>
      </c>
      <c r="B75" t="s">
        <v>17</v>
      </c>
      <c r="C75" t="s">
        <v>20</v>
      </c>
      <c r="D75" t="s">
        <v>9</v>
      </c>
      <c r="E75">
        <v>9</v>
      </c>
      <c r="F75" s="3">
        <v>933</v>
      </c>
      <c r="G75" t="s">
        <v>10</v>
      </c>
      <c r="H75" s="3">
        <f t="shared" si="1"/>
        <v>8397</v>
      </c>
    </row>
    <row r="76" spans="1:8" x14ac:dyDescent="0.3">
      <c r="A76" s="5">
        <v>45321</v>
      </c>
      <c r="B76" t="s">
        <v>7</v>
      </c>
      <c r="C76" t="s">
        <v>8</v>
      </c>
      <c r="D76" t="s">
        <v>9</v>
      </c>
      <c r="E76">
        <v>12</v>
      </c>
      <c r="F76" s="3">
        <v>256</v>
      </c>
      <c r="G76" t="s">
        <v>10</v>
      </c>
      <c r="H76" s="3">
        <f t="shared" si="1"/>
        <v>3072</v>
      </c>
    </row>
    <row r="77" spans="1:8" x14ac:dyDescent="0.3">
      <c r="A77" s="5">
        <v>45321</v>
      </c>
      <c r="B77" t="s">
        <v>7</v>
      </c>
      <c r="C77" t="s">
        <v>13</v>
      </c>
      <c r="D77" t="s">
        <v>14</v>
      </c>
      <c r="E77">
        <v>7</v>
      </c>
      <c r="F77" s="3">
        <v>117</v>
      </c>
      <c r="G77" t="s">
        <v>10</v>
      </c>
      <c r="H77" s="3">
        <f t="shared" si="1"/>
        <v>819</v>
      </c>
    </row>
    <row r="78" spans="1:8" x14ac:dyDescent="0.3">
      <c r="A78" s="5">
        <v>45350</v>
      </c>
      <c r="B78" t="s">
        <v>16</v>
      </c>
      <c r="C78" t="s">
        <v>18</v>
      </c>
      <c r="D78" t="s">
        <v>14</v>
      </c>
      <c r="E78">
        <v>7</v>
      </c>
      <c r="F78" s="3">
        <v>342</v>
      </c>
      <c r="G78" t="s">
        <v>10</v>
      </c>
      <c r="H78" s="3">
        <f t="shared" si="1"/>
        <v>2394</v>
      </c>
    </row>
    <row r="79" spans="1:8" x14ac:dyDescent="0.3">
      <c r="A79" s="5">
        <v>45310</v>
      </c>
      <c r="B79" t="s">
        <v>12</v>
      </c>
      <c r="C79" t="s">
        <v>18</v>
      </c>
      <c r="D79" t="s">
        <v>14</v>
      </c>
      <c r="E79">
        <v>13</v>
      </c>
      <c r="F79" s="3">
        <v>274</v>
      </c>
      <c r="G79" t="s">
        <v>11</v>
      </c>
      <c r="H79" s="3">
        <f t="shared" si="1"/>
        <v>3562</v>
      </c>
    </row>
    <row r="80" spans="1:8" x14ac:dyDescent="0.3">
      <c r="A80" s="5">
        <v>45362</v>
      </c>
      <c r="B80" t="s">
        <v>17</v>
      </c>
      <c r="C80" t="s">
        <v>8</v>
      </c>
      <c r="D80" t="s">
        <v>9</v>
      </c>
      <c r="E80">
        <v>18</v>
      </c>
      <c r="F80" s="3">
        <v>248</v>
      </c>
      <c r="G80" t="s">
        <v>15</v>
      </c>
      <c r="H80" s="3">
        <f t="shared" si="1"/>
        <v>4464</v>
      </c>
    </row>
    <row r="81" spans="1:8" x14ac:dyDescent="0.3">
      <c r="A81" s="5">
        <v>45350</v>
      </c>
      <c r="B81" t="s">
        <v>17</v>
      </c>
      <c r="C81" t="s">
        <v>20</v>
      </c>
      <c r="D81" t="s">
        <v>9</v>
      </c>
      <c r="E81">
        <v>17</v>
      </c>
      <c r="F81" s="3">
        <v>909</v>
      </c>
      <c r="G81" t="s">
        <v>11</v>
      </c>
      <c r="H81" s="3">
        <f t="shared" si="1"/>
        <v>15453</v>
      </c>
    </row>
    <row r="82" spans="1:8" x14ac:dyDescent="0.3">
      <c r="A82" s="5">
        <v>45357</v>
      </c>
      <c r="B82" t="s">
        <v>17</v>
      </c>
      <c r="C82" t="s">
        <v>8</v>
      </c>
      <c r="D82" t="s">
        <v>9</v>
      </c>
      <c r="E82">
        <v>5</v>
      </c>
      <c r="F82" s="3">
        <v>262</v>
      </c>
      <c r="G82" t="s">
        <v>10</v>
      </c>
      <c r="H82" s="3">
        <f t="shared" si="1"/>
        <v>1310</v>
      </c>
    </row>
    <row r="83" spans="1:8" x14ac:dyDescent="0.3">
      <c r="A83" s="5">
        <v>45323</v>
      </c>
      <c r="B83" t="s">
        <v>12</v>
      </c>
      <c r="C83" t="s">
        <v>8</v>
      </c>
      <c r="D83" t="s">
        <v>9</v>
      </c>
      <c r="E83">
        <v>13</v>
      </c>
      <c r="F83" s="3">
        <v>266</v>
      </c>
      <c r="G83" t="s">
        <v>11</v>
      </c>
      <c r="H83" s="3">
        <f t="shared" si="1"/>
        <v>3458</v>
      </c>
    </row>
    <row r="84" spans="1:8" x14ac:dyDescent="0.3">
      <c r="A84" s="5">
        <v>45311</v>
      </c>
      <c r="B84" t="s">
        <v>7</v>
      </c>
      <c r="C84" t="s">
        <v>13</v>
      </c>
      <c r="D84" t="s">
        <v>14</v>
      </c>
      <c r="E84">
        <v>5</v>
      </c>
      <c r="F84" s="3">
        <v>135</v>
      </c>
      <c r="G84" t="s">
        <v>15</v>
      </c>
      <c r="H84" s="3">
        <f t="shared" si="1"/>
        <v>675</v>
      </c>
    </row>
    <row r="85" spans="1:8" x14ac:dyDescent="0.3">
      <c r="A85" s="5">
        <v>45348</v>
      </c>
      <c r="B85" t="s">
        <v>7</v>
      </c>
      <c r="C85" t="s">
        <v>8</v>
      </c>
      <c r="D85" t="s">
        <v>9</v>
      </c>
      <c r="E85">
        <v>15</v>
      </c>
      <c r="F85" s="3">
        <v>238</v>
      </c>
      <c r="G85" t="s">
        <v>10</v>
      </c>
      <c r="H85" s="3">
        <f t="shared" si="1"/>
        <v>3570</v>
      </c>
    </row>
    <row r="86" spans="1:8" x14ac:dyDescent="0.3">
      <c r="A86" s="5">
        <v>45336</v>
      </c>
      <c r="B86" t="s">
        <v>7</v>
      </c>
      <c r="C86" t="s">
        <v>20</v>
      </c>
      <c r="D86" t="s">
        <v>9</v>
      </c>
      <c r="E86">
        <v>5</v>
      </c>
      <c r="F86" s="3">
        <v>950</v>
      </c>
      <c r="G86" t="s">
        <v>15</v>
      </c>
      <c r="H86" s="3">
        <f t="shared" si="1"/>
        <v>4750</v>
      </c>
    </row>
    <row r="87" spans="1:8" x14ac:dyDescent="0.3">
      <c r="A87" s="5">
        <v>45375</v>
      </c>
      <c r="B87" t="s">
        <v>17</v>
      </c>
      <c r="C87" t="s">
        <v>8</v>
      </c>
      <c r="D87" t="s">
        <v>9</v>
      </c>
      <c r="E87">
        <v>6</v>
      </c>
      <c r="F87" s="3">
        <v>232</v>
      </c>
      <c r="G87" t="s">
        <v>15</v>
      </c>
      <c r="H87" s="3">
        <f t="shared" si="1"/>
        <v>1392</v>
      </c>
    </row>
    <row r="88" spans="1:8" x14ac:dyDescent="0.3">
      <c r="A88" s="5">
        <v>45327</v>
      </c>
      <c r="B88" t="s">
        <v>7</v>
      </c>
      <c r="C88" t="s">
        <v>18</v>
      </c>
      <c r="D88" t="s">
        <v>14</v>
      </c>
      <c r="E88">
        <v>17</v>
      </c>
      <c r="F88" s="3">
        <v>291</v>
      </c>
      <c r="G88" t="s">
        <v>10</v>
      </c>
      <c r="H88" s="3">
        <f t="shared" si="1"/>
        <v>4947</v>
      </c>
    </row>
    <row r="89" spans="1:8" x14ac:dyDescent="0.3">
      <c r="A89" s="5">
        <v>45347</v>
      </c>
      <c r="B89" t="s">
        <v>12</v>
      </c>
      <c r="C89" t="s">
        <v>8</v>
      </c>
      <c r="D89" t="s">
        <v>9</v>
      </c>
      <c r="E89">
        <v>15</v>
      </c>
      <c r="F89" s="3">
        <v>275</v>
      </c>
      <c r="G89" t="s">
        <v>15</v>
      </c>
      <c r="H89" s="3">
        <f t="shared" si="1"/>
        <v>4125</v>
      </c>
    </row>
    <row r="90" spans="1:8" x14ac:dyDescent="0.3">
      <c r="A90" s="5">
        <v>45334</v>
      </c>
      <c r="B90" t="s">
        <v>17</v>
      </c>
      <c r="C90" t="s">
        <v>20</v>
      </c>
      <c r="D90" t="s">
        <v>9</v>
      </c>
      <c r="E90">
        <v>6</v>
      </c>
      <c r="F90" s="3">
        <v>892</v>
      </c>
      <c r="G90" t="s">
        <v>15</v>
      </c>
      <c r="H90" s="3">
        <f t="shared" si="1"/>
        <v>5352</v>
      </c>
    </row>
    <row r="91" spans="1:8" x14ac:dyDescent="0.3">
      <c r="A91" s="5">
        <v>45381</v>
      </c>
      <c r="B91" t="s">
        <v>16</v>
      </c>
      <c r="C91" t="s">
        <v>19</v>
      </c>
      <c r="D91" t="s">
        <v>9</v>
      </c>
      <c r="E91">
        <v>2</v>
      </c>
      <c r="F91" s="3">
        <v>408</v>
      </c>
      <c r="G91" t="s">
        <v>10</v>
      </c>
      <c r="H91" s="3">
        <f t="shared" si="1"/>
        <v>816</v>
      </c>
    </row>
    <row r="92" spans="1:8" x14ac:dyDescent="0.3">
      <c r="A92" s="5">
        <v>45308</v>
      </c>
      <c r="B92" t="s">
        <v>7</v>
      </c>
      <c r="C92" t="s">
        <v>19</v>
      </c>
      <c r="D92" t="s">
        <v>9</v>
      </c>
      <c r="E92">
        <v>7</v>
      </c>
      <c r="F92" s="3">
        <v>370</v>
      </c>
      <c r="G92" t="s">
        <v>10</v>
      </c>
      <c r="H92" s="3">
        <f t="shared" si="1"/>
        <v>2590</v>
      </c>
    </row>
    <row r="93" spans="1:8" x14ac:dyDescent="0.3">
      <c r="A93" s="5">
        <v>45334</v>
      </c>
      <c r="B93" t="s">
        <v>7</v>
      </c>
      <c r="C93" t="s">
        <v>18</v>
      </c>
      <c r="D93" t="s">
        <v>14</v>
      </c>
      <c r="E93">
        <v>7</v>
      </c>
      <c r="F93" s="3">
        <v>250</v>
      </c>
      <c r="G93" t="s">
        <v>10</v>
      </c>
      <c r="H93" s="3">
        <f t="shared" si="1"/>
        <v>1750</v>
      </c>
    </row>
    <row r="94" spans="1:8" x14ac:dyDescent="0.3">
      <c r="A94" s="5">
        <v>45357</v>
      </c>
      <c r="B94" t="s">
        <v>7</v>
      </c>
      <c r="C94" t="s">
        <v>18</v>
      </c>
      <c r="D94" t="s">
        <v>14</v>
      </c>
      <c r="E94">
        <v>6</v>
      </c>
      <c r="F94" s="3">
        <v>266</v>
      </c>
      <c r="G94" t="s">
        <v>10</v>
      </c>
      <c r="H94" s="3">
        <f t="shared" si="1"/>
        <v>1596</v>
      </c>
    </row>
    <row r="95" spans="1:8" x14ac:dyDescent="0.3">
      <c r="A95" s="5">
        <v>45327</v>
      </c>
      <c r="B95" t="s">
        <v>17</v>
      </c>
      <c r="C95" t="s">
        <v>21</v>
      </c>
      <c r="D95" t="s">
        <v>9</v>
      </c>
      <c r="E95">
        <v>2</v>
      </c>
      <c r="F95" s="3">
        <v>565</v>
      </c>
      <c r="G95" t="s">
        <v>10</v>
      </c>
      <c r="H95" s="3">
        <f t="shared" si="1"/>
        <v>1130</v>
      </c>
    </row>
    <row r="96" spans="1:8" x14ac:dyDescent="0.3">
      <c r="A96" s="5">
        <v>45353</v>
      </c>
      <c r="B96" t="s">
        <v>16</v>
      </c>
      <c r="C96" t="s">
        <v>21</v>
      </c>
      <c r="D96" t="s">
        <v>9</v>
      </c>
      <c r="E96">
        <v>8</v>
      </c>
      <c r="F96" s="3">
        <v>579</v>
      </c>
      <c r="G96" t="s">
        <v>11</v>
      </c>
      <c r="H96" s="3">
        <f t="shared" si="1"/>
        <v>4632</v>
      </c>
    </row>
    <row r="97" spans="1:8" x14ac:dyDescent="0.3">
      <c r="A97" s="5">
        <v>45365</v>
      </c>
      <c r="B97" t="s">
        <v>7</v>
      </c>
      <c r="C97" t="s">
        <v>13</v>
      </c>
      <c r="D97" t="s">
        <v>14</v>
      </c>
      <c r="E97">
        <v>2</v>
      </c>
      <c r="F97" s="3">
        <v>136</v>
      </c>
      <c r="G97" t="s">
        <v>15</v>
      </c>
      <c r="H97" s="3">
        <f t="shared" si="1"/>
        <v>272</v>
      </c>
    </row>
    <row r="98" spans="1:8" x14ac:dyDescent="0.3">
      <c r="A98" s="5">
        <v>45324</v>
      </c>
      <c r="B98" t="s">
        <v>7</v>
      </c>
      <c r="C98" t="s">
        <v>19</v>
      </c>
      <c r="D98" t="s">
        <v>9</v>
      </c>
      <c r="E98">
        <v>17</v>
      </c>
      <c r="F98" s="3">
        <v>377</v>
      </c>
      <c r="G98" t="s">
        <v>15</v>
      </c>
      <c r="H98" s="3">
        <f t="shared" si="1"/>
        <v>6409</v>
      </c>
    </row>
    <row r="99" spans="1:8" x14ac:dyDescent="0.3">
      <c r="A99" s="5">
        <v>45342</v>
      </c>
      <c r="B99" t="s">
        <v>16</v>
      </c>
      <c r="C99" t="s">
        <v>21</v>
      </c>
      <c r="D99" t="s">
        <v>9</v>
      </c>
      <c r="E99">
        <v>20</v>
      </c>
      <c r="F99" s="3">
        <v>619</v>
      </c>
      <c r="G99" t="s">
        <v>10</v>
      </c>
      <c r="H99" s="3">
        <f t="shared" si="1"/>
        <v>12380</v>
      </c>
    </row>
    <row r="100" spans="1:8" x14ac:dyDescent="0.3">
      <c r="A100" s="5">
        <v>45336</v>
      </c>
      <c r="B100" t="s">
        <v>7</v>
      </c>
      <c r="C100" t="s">
        <v>8</v>
      </c>
      <c r="D100" t="s">
        <v>9</v>
      </c>
      <c r="E100">
        <v>2</v>
      </c>
      <c r="F100" s="3">
        <v>205</v>
      </c>
      <c r="G100" t="s">
        <v>15</v>
      </c>
      <c r="H100" s="3">
        <f t="shared" si="1"/>
        <v>410</v>
      </c>
    </row>
    <row r="101" spans="1:8" x14ac:dyDescent="0.3">
      <c r="A101" s="5">
        <v>45297</v>
      </c>
      <c r="B101" t="s">
        <v>16</v>
      </c>
      <c r="C101" t="s">
        <v>19</v>
      </c>
      <c r="D101" t="s">
        <v>9</v>
      </c>
      <c r="E101">
        <v>6</v>
      </c>
      <c r="F101" s="3">
        <v>419</v>
      </c>
      <c r="G101" t="s">
        <v>15</v>
      </c>
      <c r="H101" s="3">
        <f t="shared" si="1"/>
        <v>2514</v>
      </c>
    </row>
    <row r="102" spans="1:8" x14ac:dyDescent="0.3">
      <c r="A102" s="5">
        <v>45349</v>
      </c>
      <c r="B102" t="s">
        <v>12</v>
      </c>
      <c r="C102" t="s">
        <v>19</v>
      </c>
      <c r="D102" t="s">
        <v>9</v>
      </c>
      <c r="E102">
        <v>8</v>
      </c>
      <c r="F102" s="3">
        <v>361</v>
      </c>
      <c r="G102" t="s">
        <v>15</v>
      </c>
      <c r="H102" s="3">
        <f t="shared" si="1"/>
        <v>2888</v>
      </c>
    </row>
    <row r="103" spans="1:8" x14ac:dyDescent="0.3">
      <c r="A103" s="5">
        <v>45347</v>
      </c>
      <c r="B103" t="s">
        <v>7</v>
      </c>
      <c r="C103" t="s">
        <v>18</v>
      </c>
      <c r="D103" t="s">
        <v>14</v>
      </c>
      <c r="E103">
        <v>20</v>
      </c>
      <c r="F103" s="3">
        <v>317</v>
      </c>
      <c r="G103" t="s">
        <v>11</v>
      </c>
      <c r="H103" s="3">
        <f t="shared" si="1"/>
        <v>6340</v>
      </c>
    </row>
    <row r="104" spans="1:8" x14ac:dyDescent="0.3">
      <c r="A104" s="5">
        <v>45369</v>
      </c>
      <c r="B104" t="s">
        <v>17</v>
      </c>
      <c r="C104" t="s">
        <v>18</v>
      </c>
      <c r="D104" t="s">
        <v>14</v>
      </c>
      <c r="E104">
        <v>1</v>
      </c>
      <c r="F104" s="3">
        <v>335</v>
      </c>
      <c r="G104" t="s">
        <v>10</v>
      </c>
      <c r="H104" s="3">
        <f t="shared" si="1"/>
        <v>335</v>
      </c>
    </row>
    <row r="105" spans="1:8" x14ac:dyDescent="0.3">
      <c r="A105" s="5">
        <v>45310</v>
      </c>
      <c r="B105" t="s">
        <v>12</v>
      </c>
      <c r="C105" t="s">
        <v>21</v>
      </c>
      <c r="D105" t="s">
        <v>9</v>
      </c>
      <c r="E105">
        <v>11</v>
      </c>
      <c r="F105" s="3">
        <v>617</v>
      </c>
      <c r="G105" t="s">
        <v>15</v>
      </c>
      <c r="H105" s="3">
        <f t="shared" si="1"/>
        <v>6787</v>
      </c>
    </row>
    <row r="106" spans="1:8" x14ac:dyDescent="0.3">
      <c r="A106" s="5">
        <v>45292</v>
      </c>
      <c r="B106" t="s">
        <v>16</v>
      </c>
      <c r="C106" t="s">
        <v>18</v>
      </c>
      <c r="D106" t="s">
        <v>14</v>
      </c>
      <c r="E106">
        <v>11</v>
      </c>
      <c r="F106" s="3">
        <v>257</v>
      </c>
      <c r="G106" t="s">
        <v>10</v>
      </c>
      <c r="H106" s="3">
        <f t="shared" si="1"/>
        <v>2827</v>
      </c>
    </row>
    <row r="107" spans="1:8" x14ac:dyDescent="0.3">
      <c r="A107" s="5">
        <v>45360</v>
      </c>
      <c r="B107" t="s">
        <v>17</v>
      </c>
      <c r="C107" t="s">
        <v>8</v>
      </c>
      <c r="D107" t="s">
        <v>9</v>
      </c>
      <c r="E107">
        <v>2</v>
      </c>
      <c r="F107" s="3">
        <v>236</v>
      </c>
      <c r="G107" t="s">
        <v>11</v>
      </c>
      <c r="H107" s="3">
        <f t="shared" si="1"/>
        <v>472</v>
      </c>
    </row>
    <row r="108" spans="1:8" x14ac:dyDescent="0.3">
      <c r="A108" s="5">
        <v>45334</v>
      </c>
      <c r="B108" t="s">
        <v>17</v>
      </c>
      <c r="C108" t="s">
        <v>18</v>
      </c>
      <c r="D108" t="s">
        <v>14</v>
      </c>
      <c r="E108">
        <v>8</v>
      </c>
      <c r="F108" s="3">
        <v>317</v>
      </c>
      <c r="G108" t="s">
        <v>11</v>
      </c>
      <c r="H108" s="3">
        <f t="shared" si="1"/>
        <v>2536</v>
      </c>
    </row>
    <row r="109" spans="1:8" x14ac:dyDescent="0.3">
      <c r="A109" s="5">
        <v>45381</v>
      </c>
      <c r="B109" t="s">
        <v>16</v>
      </c>
      <c r="C109" t="s">
        <v>18</v>
      </c>
      <c r="D109" t="s">
        <v>14</v>
      </c>
      <c r="E109">
        <v>16</v>
      </c>
      <c r="F109" s="3">
        <v>315</v>
      </c>
      <c r="G109" t="s">
        <v>10</v>
      </c>
      <c r="H109" s="3">
        <f t="shared" si="1"/>
        <v>5040</v>
      </c>
    </row>
    <row r="110" spans="1:8" x14ac:dyDescent="0.3">
      <c r="A110" s="5">
        <v>45345</v>
      </c>
      <c r="B110" t="s">
        <v>12</v>
      </c>
      <c r="C110" t="s">
        <v>18</v>
      </c>
      <c r="D110" t="s">
        <v>14</v>
      </c>
      <c r="E110">
        <v>19</v>
      </c>
      <c r="F110" s="3">
        <v>289</v>
      </c>
      <c r="G110" t="s">
        <v>10</v>
      </c>
      <c r="H110" s="3">
        <f t="shared" si="1"/>
        <v>5491</v>
      </c>
    </row>
    <row r="111" spans="1:8" x14ac:dyDescent="0.3">
      <c r="A111" s="5">
        <v>45360</v>
      </c>
      <c r="B111" t="s">
        <v>17</v>
      </c>
      <c r="C111" t="s">
        <v>19</v>
      </c>
      <c r="D111" t="s">
        <v>9</v>
      </c>
      <c r="E111">
        <v>17</v>
      </c>
      <c r="F111" s="3">
        <v>406</v>
      </c>
      <c r="G111" t="s">
        <v>10</v>
      </c>
      <c r="H111" s="3">
        <f t="shared" si="1"/>
        <v>6902</v>
      </c>
    </row>
    <row r="112" spans="1:8" x14ac:dyDescent="0.3">
      <c r="A112" s="5">
        <v>45319</v>
      </c>
      <c r="B112" t="s">
        <v>17</v>
      </c>
      <c r="C112" t="s">
        <v>18</v>
      </c>
      <c r="D112" t="s">
        <v>14</v>
      </c>
      <c r="E112">
        <v>19</v>
      </c>
      <c r="F112" s="3">
        <v>304</v>
      </c>
      <c r="G112" t="s">
        <v>11</v>
      </c>
      <c r="H112" s="3">
        <f t="shared" si="1"/>
        <v>5776</v>
      </c>
    </row>
    <row r="113" spans="1:8" x14ac:dyDescent="0.3">
      <c r="A113" s="5">
        <v>45323</v>
      </c>
      <c r="B113" t="s">
        <v>7</v>
      </c>
      <c r="C113" t="s">
        <v>20</v>
      </c>
      <c r="D113" t="s">
        <v>9</v>
      </c>
      <c r="E113">
        <v>18</v>
      </c>
      <c r="F113" s="3">
        <v>896</v>
      </c>
      <c r="G113" t="s">
        <v>11</v>
      </c>
      <c r="H113" s="3">
        <f t="shared" si="1"/>
        <v>16128</v>
      </c>
    </row>
    <row r="114" spans="1:8" x14ac:dyDescent="0.3">
      <c r="A114" s="5">
        <v>45317</v>
      </c>
      <c r="B114" t="s">
        <v>12</v>
      </c>
      <c r="C114" t="s">
        <v>13</v>
      </c>
      <c r="D114" t="s">
        <v>14</v>
      </c>
      <c r="E114">
        <v>12</v>
      </c>
      <c r="F114" s="3">
        <v>112</v>
      </c>
      <c r="G114" t="s">
        <v>10</v>
      </c>
      <c r="H114" s="3">
        <f t="shared" si="1"/>
        <v>1344</v>
      </c>
    </row>
    <row r="115" spans="1:8" x14ac:dyDescent="0.3">
      <c r="A115" s="5">
        <v>45293</v>
      </c>
      <c r="B115" t="s">
        <v>12</v>
      </c>
      <c r="C115" t="s">
        <v>21</v>
      </c>
      <c r="D115" t="s">
        <v>9</v>
      </c>
      <c r="E115">
        <v>4</v>
      </c>
      <c r="F115" s="3">
        <v>617</v>
      </c>
      <c r="G115" t="s">
        <v>15</v>
      </c>
      <c r="H115" s="3">
        <f t="shared" si="1"/>
        <v>2468</v>
      </c>
    </row>
    <row r="116" spans="1:8" x14ac:dyDescent="0.3">
      <c r="A116" s="5">
        <v>45295</v>
      </c>
      <c r="B116" t="s">
        <v>12</v>
      </c>
      <c r="C116" t="s">
        <v>8</v>
      </c>
      <c r="D116" t="s">
        <v>9</v>
      </c>
      <c r="E116">
        <v>2</v>
      </c>
      <c r="F116" s="3">
        <v>201</v>
      </c>
      <c r="G116" t="s">
        <v>11</v>
      </c>
      <c r="H116" s="3">
        <f t="shared" si="1"/>
        <v>402</v>
      </c>
    </row>
    <row r="117" spans="1:8" x14ac:dyDescent="0.3">
      <c r="A117" s="5">
        <v>45326</v>
      </c>
      <c r="B117" t="s">
        <v>17</v>
      </c>
      <c r="C117" t="s">
        <v>13</v>
      </c>
      <c r="D117" t="s">
        <v>14</v>
      </c>
      <c r="E117">
        <v>16</v>
      </c>
      <c r="F117" s="3">
        <v>71</v>
      </c>
      <c r="G117" t="s">
        <v>15</v>
      </c>
      <c r="H117" s="3">
        <f t="shared" si="1"/>
        <v>1136</v>
      </c>
    </row>
    <row r="118" spans="1:8" x14ac:dyDescent="0.3">
      <c r="A118" s="5">
        <v>45343</v>
      </c>
      <c r="B118" t="s">
        <v>16</v>
      </c>
      <c r="C118" t="s">
        <v>19</v>
      </c>
      <c r="D118" t="s">
        <v>9</v>
      </c>
      <c r="E118">
        <v>18</v>
      </c>
      <c r="F118" s="3">
        <v>380</v>
      </c>
      <c r="G118" t="s">
        <v>11</v>
      </c>
      <c r="H118" s="3">
        <f t="shared" si="1"/>
        <v>6840</v>
      </c>
    </row>
    <row r="119" spans="1:8" x14ac:dyDescent="0.3">
      <c r="A119" s="5">
        <v>45294</v>
      </c>
      <c r="B119" t="s">
        <v>17</v>
      </c>
      <c r="C119" t="s">
        <v>8</v>
      </c>
      <c r="D119" t="s">
        <v>9</v>
      </c>
      <c r="E119">
        <v>9</v>
      </c>
      <c r="F119" s="3">
        <v>249</v>
      </c>
      <c r="G119" t="s">
        <v>15</v>
      </c>
      <c r="H119" s="3">
        <f t="shared" si="1"/>
        <v>2241</v>
      </c>
    </row>
    <row r="120" spans="1:8" x14ac:dyDescent="0.3">
      <c r="A120" s="5">
        <v>45342</v>
      </c>
      <c r="B120" t="s">
        <v>16</v>
      </c>
      <c r="C120" t="s">
        <v>18</v>
      </c>
      <c r="D120" t="s">
        <v>14</v>
      </c>
      <c r="E120">
        <v>10</v>
      </c>
      <c r="F120" s="3">
        <v>271</v>
      </c>
      <c r="G120" t="s">
        <v>15</v>
      </c>
      <c r="H120" s="3">
        <f t="shared" si="1"/>
        <v>2710</v>
      </c>
    </row>
    <row r="121" spans="1:8" x14ac:dyDescent="0.3">
      <c r="A121" s="5">
        <v>45308</v>
      </c>
      <c r="B121" t="s">
        <v>17</v>
      </c>
      <c r="C121" t="s">
        <v>21</v>
      </c>
      <c r="D121" t="s">
        <v>9</v>
      </c>
      <c r="E121">
        <v>11</v>
      </c>
      <c r="F121" s="3">
        <v>584</v>
      </c>
      <c r="G121" t="s">
        <v>11</v>
      </c>
      <c r="H121" s="3">
        <f t="shared" si="1"/>
        <v>6424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A1F9-EF00-4320-B60C-CA0532929FC4}">
  <dimension ref="A3:G8"/>
  <sheetViews>
    <sheetView topLeftCell="A2" workbookViewId="0">
      <selection activeCell="D6" sqref="D6"/>
    </sheetView>
  </sheetViews>
  <sheetFormatPr defaultColWidth="11.5546875" defaultRowHeight="14.4" x14ac:dyDescent="0.3"/>
  <cols>
    <col min="1" max="1" width="12.44140625" bestFit="1" customWidth="1"/>
    <col min="2" max="2" width="15.44140625" bestFit="1" customWidth="1"/>
    <col min="3" max="3" width="9" bestFit="1" customWidth="1"/>
    <col min="4" max="4" width="11.88671875" bestFit="1" customWidth="1"/>
    <col min="5" max="5" width="16.5546875" bestFit="1" customWidth="1"/>
    <col min="6" max="6" width="12.44140625" bestFit="1" customWidth="1"/>
    <col min="7" max="7" width="15.44140625" bestFit="1" customWidth="1"/>
    <col min="8" max="8" width="11.88671875" bestFit="1" customWidth="1"/>
  </cols>
  <sheetData>
    <row r="3" spans="1:7" x14ac:dyDescent="0.3">
      <c r="A3" s="1" t="s">
        <v>49</v>
      </c>
      <c r="B3" t="s">
        <v>23</v>
      </c>
      <c r="F3" s="1" t="s">
        <v>49</v>
      </c>
      <c r="G3" t="s">
        <v>23</v>
      </c>
    </row>
    <row r="4" spans="1:7" x14ac:dyDescent="0.3">
      <c r="A4" s="2" t="s">
        <v>16</v>
      </c>
      <c r="B4" s="6">
        <v>161849</v>
      </c>
      <c r="F4" s="2" t="s">
        <v>9</v>
      </c>
      <c r="G4" s="3">
        <v>407764</v>
      </c>
    </row>
    <row r="5" spans="1:7" x14ac:dyDescent="0.3">
      <c r="A5" s="2" t="s">
        <v>7</v>
      </c>
      <c r="B5" s="6">
        <v>153959</v>
      </c>
      <c r="F5" s="2" t="s">
        <v>14</v>
      </c>
      <c r="G5" s="3">
        <v>106567</v>
      </c>
    </row>
    <row r="6" spans="1:7" x14ac:dyDescent="0.3">
      <c r="A6" s="2" t="s">
        <v>12</v>
      </c>
      <c r="B6" s="6">
        <v>90185</v>
      </c>
      <c r="F6" s="2" t="s">
        <v>50</v>
      </c>
      <c r="G6" s="3">
        <v>514331</v>
      </c>
    </row>
    <row r="7" spans="1:7" x14ac:dyDescent="0.3">
      <c r="A7" s="2" t="s">
        <v>17</v>
      </c>
      <c r="B7" s="6">
        <v>108338</v>
      </c>
    </row>
    <row r="8" spans="1:7" x14ac:dyDescent="0.3">
      <c r="A8" s="2" t="s">
        <v>50</v>
      </c>
      <c r="B8" s="3">
        <v>514331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91C1-C49D-4A41-86BC-6FAD22E50C25}">
  <dimension ref="A2:G10"/>
  <sheetViews>
    <sheetView workbookViewId="0">
      <selection activeCell="G5" sqref="G5"/>
    </sheetView>
  </sheetViews>
  <sheetFormatPr defaultColWidth="11.5546875" defaultRowHeight="14.4" x14ac:dyDescent="0.3"/>
  <cols>
    <col min="1" max="1" width="12.44140625" bestFit="1" customWidth="1"/>
    <col min="2" max="2" width="17.21875" bestFit="1" customWidth="1"/>
    <col min="3" max="3" width="15.33203125" bestFit="1" customWidth="1"/>
    <col min="4" max="4" width="16.109375" bestFit="1" customWidth="1"/>
    <col min="5" max="5" width="16.21875" bestFit="1" customWidth="1"/>
    <col min="6" max="6" width="12.44140625" bestFit="1" customWidth="1"/>
    <col min="7" max="7" width="15.44140625" bestFit="1" customWidth="1"/>
    <col min="8" max="21" width="8.44140625" customWidth="1"/>
    <col min="22" max="22" width="11.88671875" bestFit="1" customWidth="1"/>
  </cols>
  <sheetData>
    <row r="2" spans="1:7" x14ac:dyDescent="0.3">
      <c r="F2" s="1" t="s">
        <v>49</v>
      </c>
      <c r="G2" t="s">
        <v>23</v>
      </c>
    </row>
    <row r="3" spans="1:7" x14ac:dyDescent="0.3">
      <c r="A3" s="1" t="s">
        <v>49</v>
      </c>
      <c r="B3" t="s">
        <v>24</v>
      </c>
      <c r="F3" s="2" t="s">
        <v>20</v>
      </c>
      <c r="G3" s="3">
        <v>168948</v>
      </c>
    </row>
    <row r="4" spans="1:7" x14ac:dyDescent="0.3">
      <c r="A4" s="2" t="s">
        <v>18</v>
      </c>
      <c r="B4" s="7">
        <v>282</v>
      </c>
      <c r="F4" s="2" t="s">
        <v>21</v>
      </c>
      <c r="G4" s="3">
        <v>100573</v>
      </c>
    </row>
    <row r="5" spans="1:7" x14ac:dyDescent="0.3">
      <c r="A5" s="2" t="s">
        <v>8</v>
      </c>
      <c r="B5" s="7">
        <v>249</v>
      </c>
      <c r="F5" s="2" t="s">
        <v>18</v>
      </c>
      <c r="G5" s="3">
        <v>85277</v>
      </c>
    </row>
    <row r="6" spans="1:7" x14ac:dyDescent="0.3">
      <c r="A6" s="2" t="s">
        <v>19</v>
      </c>
      <c r="B6" s="7">
        <v>192</v>
      </c>
      <c r="F6" s="2" t="s">
        <v>19</v>
      </c>
      <c r="G6" s="3">
        <v>75796</v>
      </c>
    </row>
    <row r="7" spans="1:7" x14ac:dyDescent="0.3">
      <c r="A7" s="2" t="s">
        <v>13</v>
      </c>
      <c r="B7" s="7">
        <v>191</v>
      </c>
      <c r="F7" s="2" t="s">
        <v>8</v>
      </c>
      <c r="G7" s="3">
        <v>62447</v>
      </c>
    </row>
    <row r="8" spans="1:7" x14ac:dyDescent="0.3">
      <c r="A8" s="2" t="s">
        <v>20</v>
      </c>
      <c r="B8" s="7">
        <v>185</v>
      </c>
      <c r="F8" s="2" t="s">
        <v>13</v>
      </c>
      <c r="G8" s="3">
        <v>21290</v>
      </c>
    </row>
    <row r="9" spans="1:7" x14ac:dyDescent="0.3">
      <c r="A9" s="2" t="s">
        <v>21</v>
      </c>
      <c r="B9" s="7">
        <v>165</v>
      </c>
      <c r="F9" s="2" t="s">
        <v>50</v>
      </c>
      <c r="G9" s="3">
        <v>514331</v>
      </c>
    </row>
    <row r="10" spans="1:7" x14ac:dyDescent="0.3">
      <c r="A10" s="2" t="s">
        <v>50</v>
      </c>
      <c r="B10" s="7">
        <v>1264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A1D0-6C9C-4D7A-A3BB-8F06ACFB07EC}">
  <dimension ref="A3:B7"/>
  <sheetViews>
    <sheetView workbookViewId="0">
      <selection activeCell="E16" sqref="E16"/>
    </sheetView>
  </sheetViews>
  <sheetFormatPr defaultColWidth="11.5546875" defaultRowHeight="14.4" x14ac:dyDescent="0.3"/>
  <cols>
    <col min="1" max="1" width="12.44140625" bestFit="1" customWidth="1"/>
    <col min="2" max="2" width="15.44140625" bestFit="1" customWidth="1"/>
    <col min="3" max="3" width="25.77734375" bestFit="1" customWidth="1"/>
    <col min="4" max="4" width="15.109375" bestFit="1" customWidth="1"/>
    <col min="5" max="5" width="11.88671875" bestFit="1" customWidth="1"/>
  </cols>
  <sheetData>
    <row r="3" spans="1:2" x14ac:dyDescent="0.3">
      <c r="A3" s="1" t="s">
        <v>49</v>
      </c>
      <c r="B3" t="s">
        <v>23</v>
      </c>
    </row>
    <row r="4" spans="1:2" x14ac:dyDescent="0.3">
      <c r="A4" s="2" t="s">
        <v>11</v>
      </c>
      <c r="B4" s="3">
        <v>186283</v>
      </c>
    </row>
    <row r="5" spans="1:2" x14ac:dyDescent="0.3">
      <c r="A5" s="2" t="s">
        <v>10</v>
      </c>
      <c r="B5" s="3">
        <v>166056</v>
      </c>
    </row>
    <row r="6" spans="1:2" x14ac:dyDescent="0.3">
      <c r="A6" s="2" t="s">
        <v>15</v>
      </c>
      <c r="B6" s="3">
        <v>161992</v>
      </c>
    </row>
    <row r="7" spans="1:2" x14ac:dyDescent="0.3">
      <c r="A7" s="2" t="s">
        <v>50</v>
      </c>
      <c r="B7" s="3">
        <v>514331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9E5D-2F53-4B8D-AA21-B4C8AD5AD90B}">
  <dimension ref="A3:B7"/>
  <sheetViews>
    <sheetView workbookViewId="0">
      <selection activeCell="J5" sqref="J5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1" t="s">
        <v>49</v>
      </c>
      <c r="B3" t="s">
        <v>61</v>
      </c>
    </row>
    <row r="4" spans="1:2" x14ac:dyDescent="0.3">
      <c r="A4" s="2" t="s">
        <v>71</v>
      </c>
      <c r="B4" s="3">
        <v>133341</v>
      </c>
    </row>
    <row r="5" spans="1:2" x14ac:dyDescent="0.3">
      <c r="A5" s="2" t="s">
        <v>72</v>
      </c>
      <c r="B5" s="3">
        <v>205221</v>
      </c>
    </row>
    <row r="6" spans="1:2" x14ac:dyDescent="0.3">
      <c r="A6" s="2" t="s">
        <v>73</v>
      </c>
      <c r="B6" s="3">
        <v>175769</v>
      </c>
    </row>
    <row r="7" spans="1:2" x14ac:dyDescent="0.3">
      <c r="A7" s="2" t="s">
        <v>50</v>
      </c>
      <c r="B7" s="3">
        <v>514331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BF3A-FACE-49CA-8859-754487198289}">
  <dimension ref="A1:B60"/>
  <sheetViews>
    <sheetView topLeftCell="A36" workbookViewId="0">
      <selection activeCell="C57" sqref="C57"/>
    </sheetView>
  </sheetViews>
  <sheetFormatPr defaultColWidth="11.5546875" defaultRowHeight="14.4" x14ac:dyDescent="0.3"/>
  <cols>
    <col min="1" max="1" width="20.44140625" bestFit="1" customWidth="1"/>
  </cols>
  <sheetData>
    <row r="1" spans="1:2" x14ac:dyDescent="0.3">
      <c r="A1" s="4" t="s">
        <v>51</v>
      </c>
    </row>
    <row r="2" spans="1:2" x14ac:dyDescent="0.3">
      <c r="A2" s="4"/>
    </row>
    <row r="3" spans="1:2" x14ac:dyDescent="0.3">
      <c r="A3" s="4" t="s">
        <v>26</v>
      </c>
      <c r="B3" t="s">
        <v>25</v>
      </c>
    </row>
    <row r="4" spans="1:2" x14ac:dyDescent="0.3">
      <c r="A4" s="4" t="s">
        <v>27</v>
      </c>
      <c r="B4" t="s">
        <v>28</v>
      </c>
    </row>
    <row r="5" spans="1:2" x14ac:dyDescent="0.3">
      <c r="A5" s="4" t="s">
        <v>29</v>
      </c>
      <c r="B5" t="s">
        <v>30</v>
      </c>
    </row>
    <row r="7" spans="1:2" x14ac:dyDescent="0.3">
      <c r="A7" s="4" t="s">
        <v>31</v>
      </c>
      <c r="B7" t="s">
        <v>32</v>
      </c>
    </row>
    <row r="8" spans="1:2" x14ac:dyDescent="0.3">
      <c r="A8" s="4" t="s">
        <v>27</v>
      </c>
      <c r="B8" t="s">
        <v>33</v>
      </c>
    </row>
    <row r="9" spans="1:2" x14ac:dyDescent="0.3">
      <c r="A9" s="4" t="s">
        <v>29</v>
      </c>
      <c r="B9" t="s">
        <v>34</v>
      </c>
    </row>
    <row r="11" spans="1:2" x14ac:dyDescent="0.3">
      <c r="A11" s="4" t="s">
        <v>35</v>
      </c>
      <c r="B11" t="s">
        <v>36</v>
      </c>
    </row>
    <row r="12" spans="1:2" x14ac:dyDescent="0.3">
      <c r="A12" s="4" t="s">
        <v>27</v>
      </c>
      <c r="B12" t="s">
        <v>37</v>
      </c>
    </row>
    <row r="13" spans="1:2" x14ac:dyDescent="0.3">
      <c r="A13" s="4" t="s">
        <v>29</v>
      </c>
      <c r="B13" t="s">
        <v>38</v>
      </c>
    </row>
    <row r="15" spans="1:2" x14ac:dyDescent="0.3">
      <c r="A15" s="4" t="s">
        <v>39</v>
      </c>
      <c r="B15" t="s">
        <v>40</v>
      </c>
    </row>
    <row r="16" spans="1:2" x14ac:dyDescent="0.3">
      <c r="A16" s="4" t="s">
        <v>27</v>
      </c>
      <c r="B16" t="s">
        <v>41</v>
      </c>
    </row>
    <row r="17" spans="1:2" x14ac:dyDescent="0.3">
      <c r="A17" s="4" t="s">
        <v>29</v>
      </c>
      <c r="B17" t="s">
        <v>42</v>
      </c>
    </row>
    <row r="19" spans="1:2" x14ac:dyDescent="0.3">
      <c r="A19" s="4" t="s">
        <v>43</v>
      </c>
      <c r="B19" t="s">
        <v>44</v>
      </c>
    </row>
    <row r="20" spans="1:2" x14ac:dyDescent="0.3">
      <c r="A20" s="4" t="s">
        <v>46</v>
      </c>
      <c r="B20" t="s">
        <v>47</v>
      </c>
    </row>
    <row r="21" spans="1:2" x14ac:dyDescent="0.3">
      <c r="A21" s="4" t="s">
        <v>45</v>
      </c>
      <c r="B21" t="s">
        <v>48</v>
      </c>
    </row>
    <row r="23" spans="1:2" x14ac:dyDescent="0.3">
      <c r="A23" s="4" t="s">
        <v>52</v>
      </c>
    </row>
    <row r="25" spans="1:2" x14ac:dyDescent="0.3">
      <c r="A25" s="4" t="s">
        <v>26</v>
      </c>
      <c r="B25" t="s">
        <v>53</v>
      </c>
    </row>
    <row r="26" spans="1:2" x14ac:dyDescent="0.3">
      <c r="A26" s="4" t="s">
        <v>27</v>
      </c>
      <c r="B26" t="s">
        <v>54</v>
      </c>
    </row>
    <row r="27" spans="1:2" x14ac:dyDescent="0.3">
      <c r="A27" s="4" t="s">
        <v>29</v>
      </c>
      <c r="B27" t="s">
        <v>55</v>
      </c>
    </row>
    <row r="29" spans="1:2" x14ac:dyDescent="0.3">
      <c r="A29" s="4" t="s">
        <v>31</v>
      </c>
      <c r="B29" t="s">
        <v>56</v>
      </c>
    </row>
    <row r="30" spans="1:2" x14ac:dyDescent="0.3">
      <c r="A30" s="4" t="s">
        <v>27</v>
      </c>
      <c r="B30" t="s">
        <v>57</v>
      </c>
    </row>
    <row r="31" spans="1:2" x14ac:dyDescent="0.3">
      <c r="A31" s="4" t="s">
        <v>29</v>
      </c>
      <c r="B31" t="s">
        <v>58</v>
      </c>
    </row>
    <row r="33" spans="1:2" x14ac:dyDescent="0.3">
      <c r="A33" s="4" t="s">
        <v>43</v>
      </c>
      <c r="B33" t="s">
        <v>59</v>
      </c>
    </row>
    <row r="34" spans="1:2" x14ac:dyDescent="0.3">
      <c r="A34" s="4" t="s">
        <v>46</v>
      </c>
      <c r="B34" t="s">
        <v>60</v>
      </c>
    </row>
    <row r="36" spans="1:2" x14ac:dyDescent="0.3">
      <c r="A36" s="4" t="s">
        <v>62</v>
      </c>
    </row>
    <row r="38" spans="1:2" x14ac:dyDescent="0.3">
      <c r="A38" s="4" t="s">
        <v>26</v>
      </c>
      <c r="B38" t="s">
        <v>63</v>
      </c>
    </row>
    <row r="39" spans="1:2" x14ac:dyDescent="0.3">
      <c r="A39" s="4" t="s">
        <v>27</v>
      </c>
      <c r="B39" t="s">
        <v>64</v>
      </c>
    </row>
    <row r="40" spans="1:2" x14ac:dyDescent="0.3">
      <c r="A40" s="4" t="s">
        <v>29</v>
      </c>
      <c r="B40" t="s">
        <v>65</v>
      </c>
    </row>
    <row r="42" spans="1:2" x14ac:dyDescent="0.3">
      <c r="A42" s="4" t="s">
        <v>31</v>
      </c>
      <c r="B42" t="s">
        <v>66</v>
      </c>
    </row>
    <row r="43" spans="1:2" x14ac:dyDescent="0.3">
      <c r="A43" s="4" t="s">
        <v>27</v>
      </c>
      <c r="B43" t="s">
        <v>67</v>
      </c>
    </row>
    <row r="44" spans="1:2" x14ac:dyDescent="0.3">
      <c r="A44" s="4" t="s">
        <v>29</v>
      </c>
      <c r="B44" t="s">
        <v>68</v>
      </c>
    </row>
    <row r="46" spans="1:2" x14ac:dyDescent="0.3">
      <c r="A46" s="4" t="s">
        <v>43</v>
      </c>
      <c r="B46" t="s">
        <v>69</v>
      </c>
    </row>
    <row r="47" spans="1:2" x14ac:dyDescent="0.3">
      <c r="A47" s="4" t="s">
        <v>46</v>
      </c>
      <c r="B47" t="s">
        <v>70</v>
      </c>
    </row>
    <row r="49" spans="1:2" x14ac:dyDescent="0.3">
      <c r="A49" s="4" t="s">
        <v>74</v>
      </c>
    </row>
    <row r="51" spans="1:2" x14ac:dyDescent="0.3">
      <c r="A51" s="4" t="s">
        <v>26</v>
      </c>
      <c r="B51" t="s">
        <v>75</v>
      </c>
    </row>
    <row r="52" spans="1:2" x14ac:dyDescent="0.3">
      <c r="A52" s="4" t="s">
        <v>27</v>
      </c>
      <c r="B52" t="s">
        <v>76</v>
      </c>
    </row>
    <row r="53" spans="1:2" x14ac:dyDescent="0.3">
      <c r="A53" s="4" t="s">
        <v>29</v>
      </c>
      <c r="B53" t="s">
        <v>77</v>
      </c>
    </row>
    <row r="55" spans="1:2" x14ac:dyDescent="0.3">
      <c r="A55" s="4" t="s">
        <v>31</v>
      </c>
      <c r="B55" t="s">
        <v>78</v>
      </c>
    </row>
    <row r="56" spans="1:2" x14ac:dyDescent="0.3">
      <c r="A56" s="4" t="s">
        <v>27</v>
      </c>
      <c r="B56" t="s">
        <v>79</v>
      </c>
    </row>
    <row r="57" spans="1:2" x14ac:dyDescent="0.3">
      <c r="A57" s="4" t="s">
        <v>29</v>
      </c>
      <c r="B57" t="s">
        <v>80</v>
      </c>
    </row>
    <row r="59" spans="1:2" x14ac:dyDescent="0.3">
      <c r="A59" s="4"/>
    </row>
    <row r="60" spans="1:2" x14ac:dyDescent="0.3">
      <c r="A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1</vt:lpstr>
      <vt:lpstr>2</vt:lpstr>
      <vt:lpstr>3</vt:lpstr>
      <vt:lpstr>4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ARREDONDO LONDONO</cp:lastModifiedBy>
  <dcterms:created xsi:type="dcterms:W3CDTF">2025-12-22T21:26:18Z</dcterms:created>
  <dcterms:modified xsi:type="dcterms:W3CDTF">2025-12-23T04:59:23Z</dcterms:modified>
</cp:coreProperties>
</file>